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2062996e10b4f2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995624c2444b4121"/>
    <x:sheet xmlns:r="http://schemas.openxmlformats.org/officeDocument/2006/relationships" name="Data" sheetId="2" r:id="R02dc22f49bfb4c2d"/>
    <x:sheet xmlns:r="http://schemas.openxmlformats.org/officeDocument/2006/relationships" name="Coverage" sheetId="3" r:id="Rbb21a62f5b664da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9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  <x:font>
      <x:b/>
      <x:sz val="16"/>
      <x:color rgb="FF18263B"/>
      <x:name val="Arial"/>
    </x:font>
    <x:font>
      <x:sz val="11"/>
      <x:color rgb="FF18263B"/>
      <x:name val="Arial"/>
    </x:font>
    <x:font>
      <x:b/>
      <x:sz val="14"/>
      <x:color rgb="FF18263B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  <x:fill>
      <x:patternFill patternType="solid">
        <x:fgColor rgb="FF172B49"/>
      </x:patternFill>
    </x:fill>
  </x:fills>
  <x:borders count="1">
    <x:border/>
  </x:borders>
  <x:cellStyleXfs count="1">
    <x:xf numFmtId="0" fontId="0" fillId="0" borderId="0"/>
  </x:cellStyleXfs>
  <x:cellXfs count="2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  <x:xf numFmtId="0" fontId="6" fillId="0" borderId="0" xfId="0" applyNumberFormat="1" applyFont="1" applyFill="1" applyBorder="1"/>
    <x:xf numFmtId="0" fontId="7" fillId="0" borderId="0" xfId="0" applyNumberFormat="1" applyFont="1" applyFill="1" applyBorder="1"/>
    <x:xf numFmtId="0" fontId="7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0" xfId="0" applyNumberFormat="1" applyFont="1" applyFill="1" applyBorder="1" applyAlignment="1">
      <x:alignment wrapText="1"/>
    </x:xf>
    <x:xf numFmtId="200" fontId="7" fillId="0" borderId="0" xfId="0" applyNumberFormat="1" applyFont="1" applyFill="1" applyBorder="1"/>
    <x:xf numFmtId="201" fontId="7" fillId="0" borderId="0" xfId="0" applyNumberFormat="1" applyFont="1" applyFill="1" applyBorder="1"/>
    <x:xf numFmtId="0" fontId="8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db151ae6c8144e4" /><Relationship Type="http://schemas.openxmlformats.org/officeDocument/2006/relationships/theme" Target="/xl/theme/theme1.xml" Id="Ra41a609334364359" /><Relationship Type="http://schemas.openxmlformats.org/officeDocument/2006/relationships/sharedStrings" Target="/xl/sharedStrings.xml" Id="Rac2e04604dd94c8b" /><Relationship Type="http://schemas.openxmlformats.org/officeDocument/2006/relationships/worksheet" Target="/xl/worksheets/sheet1.xml" Id="R995624c2444b4121" /><Relationship Type="http://schemas.openxmlformats.org/officeDocument/2006/relationships/worksheet" Target="/xl/worksheets/sheet2.xml" Id="R02dc22f49bfb4c2d" /><Relationship Type="http://schemas.openxmlformats.org/officeDocument/2006/relationships/worksheet" Target="/xl/worksheets/sheet3.xml" Id="Rbb21a62f5b664dae" /></Relationships>
</file>

<file path=xl/tables/table1.xml><?xml version="1.0" encoding="utf-8"?>
<x:table xmlns:x="http://schemas.openxmlformats.org/spreadsheetml/2006/main" id="1" name="ResultsData" displayName="ResultsData" ref="A1:N1705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b19f9f0a86e423b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str">
        <x:v>DeepSeek | Results dashboard</x:v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str">
        <x:v>Round 1 without dependencies · Round 2 with dependencies</x:v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 t="n">
        <x:f>COUNTIF(Data!$B$2:$B$1705,"Round1")</x:f>
        <x:v>852</x:v>
      </x:c>
      <x:c r="D6" s="10" t="n">
        <x:f>COUNTIF(Data!$B$2:$B$1705,"Round2")</x:f>
        <x:v>852</x:v>
      </x:c>
      <x:c r="E6" s="11" t="n">
        <x:f>COUNTA(Data!$C$2:$C$1705)</x:f>
        <x:v>1704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 t="n">
        <x:f>IF(COUNTIFS(Data!$B$2:$B$1705,"Round1",Data!$E$2:$E$1705,"&lt;&gt;")=0,"",AVERAGEIF(Data!$B$2:$B$1705,"Round1",Data!$E$2:$E$1705))</x:f>
        <x:v>0.7394115740740739</x:v>
      </x:c>
      <x:c r="D7" s="5" t="n">
        <x:f>IF(COUNTIFS(Data!$B$2:$B$1705,"Round2",Data!$E$2:$E$1705,"&lt;&gt;")=0,"",AVERAGEIF(Data!$B$2:$B$1705,"Round2",Data!$E$2:$E$1705))</x:f>
        <x:v>0.7125589242053791</x:v>
      </x:c>
      <x:c r="E7" s="12" t="n">
        <x:f>IF(COUNT(Data!$E$2:$E$1705)=0,"",AVERAGE(Data!$E$2:$E$1705))</x:f>
        <x:v>0.7218392000000006</x:v>
      </x:c>
      <x:c r="F7" s="1"/>
      <x:c r="G7" s="1"/>
      <x:c r="H7" s="1"/>
      <x:c r="I7" s="1"/>
      <x:c r="J7" s="1"/>
    </x:row>
    <x:row r="8">
      <x:c r="A8" s="1"/>
      <x:c r="B8" s="1" t="inlineStr">
        <x:is>
          <x:t xml:space="preserve">Average condition coverage</x:t>
        </x:is>
      </x:c>
      <x:c r="C8" s="5" t="n">
        <x:f>IF(COUNTIFS(Data!$B$2:$B$1705,"Round1",Data!$N$2:$N$1705,"&lt;&gt;")=0,"",AVERAGEIF(Data!$B$2:$B$1705,"Round1",Data!$N$2:$N$1705))</x:f>
        <x:v>0.6608867924528302</x:v>
      </x:c>
      <x:c r="D8" s="5" t="n">
        <x:f>IF(COUNTIFS(Data!$B$2:$B$1705,"Round2",Data!$N$2:$N$1705,"&lt;&gt;")=0,"",AVERAGEIF(Data!$B$2:$B$1705,"Round2",Data!$N$2:$N$1705))</x:f>
        <x:v>0.6323455445544557</x:v>
      </x:c>
      <x:c r="E8" s="12" t="n">
        <x:f>IF(COUNT(Data!$N$2:$N$1705)=0,"",AVERAGE(Data!$N$2:$N$1705))</x:f>
        <x:v>0.6421681818181818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 t="n">
        <x:f>SUMIF(Data!$B$2:$B$1705,"Round1",Data!$F$2:$F$1705)</x:f>
        <x:v>4</x:v>
      </x:c>
      <x:c r="D9" s="10" t="n">
        <x:f>SUMIF(Data!$B$2:$B$1705,"Round2",Data!$F$2:$F$1705)</x:f>
        <x:v>11</x:v>
      </x:c>
      <x:c r="E9" s="11" t="n">
        <x:f>SUM(Data!$F$2:$F$1705)</x:f>
        <x:v>15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 t="n">
        <x:f>IF(C6=0,"",C9/C6)</x:f>
        <x:v>0.004694835680751174</x:v>
      </x:c>
      <x:c r="D10" s="5" t="n">
        <x:f>IF(D6=0,"",D9/D6)</x:f>
        <x:v>0.012910798122065728</x:v>
      </x:c>
      <x:c r="E10" s="12" t="n">
        <x:f>IF(E6=0,"",E9/E6)</x:f>
        <x:v>0.008802816901408451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 t="n">
        <x:f>IF(COUNTIFS(Data!$B$2:$B$1705,"Round1",Data!$G$2:$G$1705,"&lt;&gt;")=0,"",SUMIF(Data!$B$2:$B$1705,"Round1",Data!$G$2:$G$1705))</x:f>
        <x:v>11801383</x:v>
      </x:c>
      <x:c r="D11" s="10" t="n">
        <x:f>IF(COUNTIFS(Data!$B$2:$B$1705,"Round2",Data!$G$2:$G$1705,"&lt;&gt;")=0,"",SUMIF(Data!$B$2:$B$1705,"Round2",Data!$G$2:$G$1705))</x:f>
        <x:v>17293389</x:v>
      </x:c>
      <x:c r="E11" s="11" t="n">
        <x:f>IF(COUNT(Data!$G$2:$G$1705)=0,"",SUM(Data!$G$2:$G$1705))</x:f>
        <x:v>29094772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 t="n">
        <x:f>IF(COUNTIFS(Data!$B$2:$B$1705,"Round1",Data!$H$2:$H$1705,"&lt;&gt;")=0,"",SUMIF(Data!$B$2:$B$1705,"Round1",Data!$H$2:$H$1705))</x:f>
        <x:v>123382.23000000001</x:v>
      </x:c>
      <x:c r="D12" s="6" t="n">
        <x:f>IF(COUNTIFS(Data!$B$2:$B$1705,"Round2",Data!$H$2:$H$1705,"&lt;&gt;")=0,"",SUMIF(Data!$B$2:$B$1705,"Round2",Data!$H$2:$H$1705))</x:f>
        <x:v>242954.25999999995</x:v>
      </x:c>
      <x:c r="E12" s="13" t="n">
        <x:f>IF(COUNT(Data!$H$2:$H$1705)=0,"",SUM(Data!$H$2:$H$1705))</x:f>
        <x:v>366336.49000000104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 t="n">
        <x:f>COUNTIFS(Data!$B$2:$B$1705,"Round1",Data!$E$2:$E$1705,"&lt;&gt;")</x:f>
        <x:v>216</x:v>
      </x:c>
      <x:c r="D13" s="4" t="n">
        <x:f>COUNTIFS(Data!$B$2:$B$1705,"Round2",Data!$E$2:$E$1705,"&lt;&gt;")</x:f>
        <x:v>409</x:v>
      </x:c>
      <x:c r="E13" s="14" t="n">
        <x:f>COUNT(Data!$E$2:$E$1705)</x:f>
        <x:v>625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 xml:space="preserve">Lines total</x:t>
        </x:is>
      </x:c>
      <x:c r="C14" s="4" t="n">
        <x:f>IF(COUNTIFS(Data!$B$2:$B$1705,"Round1",Data!$J$2:$J$1705,"&lt;&gt;")=0,"",SUMIF(Data!$B$2:$B$1705,"Round1",Data!$J$2:$J$1705))</x:f>
        <x:v>45073</x:v>
      </x:c>
      <x:c r="D14" s="4" t="n">
        <x:f>IF(COUNTIFS(Data!$B$2:$B$1705,"Round2",Data!$J$2:$J$1705,"&lt;&gt;")=0,"",SUMIF(Data!$B$2:$B$1705,"Round2",Data!$J$2:$J$1705))</x:f>
        <x:v>99516</x:v>
      </x:c>
      <x:c r="E14" s="4" t="n">
        <x:f>IF(COUNT(Data!$J$2:$J$1705)=0,"",SUM(Data!$J$2:$J$1705))</x:f>
        <x:v>144589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 xml:space="preserve">Lines covered</x:t>
        </x:is>
      </x:c>
      <x:c r="C15" s="4" t="n">
        <x:f>IF(COUNTIFS(Data!$B$2:$B$1705,"Round1",Data!$K$2:$K$1705,"&lt;&gt;")=0,"",SUMIF(Data!$B$2:$B$1705,"Round1",Data!$K$2:$K$1705))</x:f>
        <x:v>27592</x:v>
      </x:c>
      <x:c r="D15" s="4" t="n">
        <x:f>IF(COUNTIFS(Data!$B$2:$B$1705,"Round2",Data!$K$2:$K$1705,"&lt;&gt;")=0,"",SUMIF(Data!$B$2:$B$1705,"Round2",Data!$K$2:$K$1705))</x:f>
        <x:v>57878</x:v>
      </x:c>
      <x:c r="E15" s="4" t="n">
        <x:f>IF(COUNT(Data!$K$2:$K$1705)=0,"",SUM(Data!$K$2:$K$1705))</x:f>
        <x:v>85470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 xml:space="preserve">Conditions total</x:t>
        </x:is>
      </x:c>
      <x:c r="C16" s="4" t="n">
        <x:f>IF(COUNTIFS(Data!$B$2:$B$1705,"Round1",Data!$L$2:$L$1705,"&lt;&gt;")=0,"",SUMIF(Data!$B$2:$B$1705,"Round1",Data!$L$2:$L$1705))</x:f>
        <x:v>27232</x:v>
      </x:c>
      <x:c r="D16" s="4" t="n">
        <x:f>IF(COUNTIFS(Data!$B$2:$B$1705,"Round2",Data!$L$2:$L$1705,"&lt;&gt;")=0,"",SUMIF(Data!$B$2:$B$1705,"Round2",Data!$L$2:$L$1705))</x:f>
        <x:v>61583</x:v>
      </x:c>
      <x:c r="E16" s="4" t="n">
        <x:f>IF(COUNT(Data!$L$2:$L$1705)=0,"",SUM(Data!$L$2:$L$1705))</x:f>
        <x:v>88815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 xml:space="preserve">Conditions covered</x:t>
        </x:is>
      </x:c>
      <x:c r="C17" s="4" t="n">
        <x:f>IF(COUNTIFS(Data!$B$2:$B$1705,"Round1",Data!$M$2:$M$1705,"&lt;&gt;")=0,"",SUMIF(Data!$B$2:$B$1705,"Round1",Data!$M$2:$M$1705))</x:f>
        <x:v>13869</x:v>
      </x:c>
      <x:c r="D17" s="4" t="n">
        <x:f>IF(COUNTIFS(Data!$B$2:$B$1705,"Round2",Data!$M$2:$M$1705,"&lt;&gt;")=0,"",SUMIF(Data!$B$2:$B$1705,"Round2",Data!$M$2:$M$1705))</x:f>
        <x:v>28779</x:v>
      </x:c>
      <x:c r="E17" s="4" t="n">
        <x:f>IF(COUNT(Data!$M$2:$M$1705)=0,"",SUM(Data!$M$2:$M$1705))</x:f>
        <x:v>42648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 t="n">
        <x:f>COUNTIFS(Data!$B$2:$B$1705,"Round1",Data!$D$2:$D$1705,"REVEALING")</x:f>
        <x:v>4</x:v>
      </x:c>
      <x:c r="D19" s="9" t="n">
        <x:f>COUNTIFS(Data!$B$2:$B$1705,"Round2",Data!$D$2:$D$1705,"REVEALING")</x:f>
        <x:v>11</x:v>
      </x:c>
      <x:c r="E19" s="9" t="n">
        <x:f>COUNTIF(Data!$D$2:$D$1705,"REVEALING")</x:f>
        <x:v>15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 t="n">
        <x:f>COUNTIFS(Data!$B$2:$B$1705,"Round1",Data!$D$2:$D$1705,"NOT_REVEALING")</x:f>
        <x:v>38</x:v>
      </x:c>
      <x:c r="D20" s="1" t="n">
        <x:f>COUNTIFS(Data!$B$2:$B$1705,"Round2",Data!$D$2:$D$1705,"NOT_REVEALING")</x:f>
        <x:v>100</x:v>
      </x:c>
      <x:c r="E20" s="1" t="n">
        <x:f>COUNTIF(Data!$D$2:$D$1705,"NOT_REVEALING")</x:f>
        <x:v>138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 t="n">
        <x:f>COUNTIFS(Data!$B$2:$B$1705,"Round1",Data!$D$2:$D$1705,"NOT_AVAILABLE")</x:f>
        <x:v>638</x:v>
      </x:c>
      <x:c r="D21" s="9" t="n">
        <x:f>COUNTIFS(Data!$B$2:$B$1705,"Round2",Data!$D$2:$D$1705,"NOT_AVAILABLE")</x:f>
        <x:v>442</x:v>
      </x:c>
      <x:c r="E21" s="9" t="n">
        <x:f>COUNTIF(Data!$D$2:$D$1705,"NOT_AVAILABLE")</x:f>
        <x:v>1080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 t="n">
        <x:f>COUNTIFS(Data!$B$2:$B$1705,"Round1",Data!$D$2:$D$1705,"INCONCLUSIVE")</x:f>
        <x:v>172</x:v>
      </x:c>
      <x:c r="D22" s="1" t="n">
        <x:f>COUNTIFS(Data!$B$2:$B$1705,"Round2",Data!$D$2:$D$1705,"INCONCLUSIVE")</x:f>
        <x:v>299</x:v>
      </x:c>
      <x:c r="E22" s="1" t="n">
        <x:f>COUNTIF(Data!$D$2:$D$1705,"INCONCLUSIVE")</x:f>
        <x:v>471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 xml:space="preserve">Updated: 2026-10-03 22:59:09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48">
      <x:c r="B48" s="24" t="str">
        <x:v>Coverage — recorded values and all saved results</x:v>
      </x:c>
    </x:row>
    <x:row r="49">
      <x:c r="B49" t="str">
        <x:v>Recorded only excludes blanks. All results counts blanks as 0%. See Coverage for every project.</x:v>
      </x:c>
    </x:row>
    <x:row r="51" ht="42" customHeight="1">
      <x:c r="B51" s="21" t="str">
        <x:v>Project</x:v>
      </x:c>
      <x:c r="C51" s="21" t="str">
        <x:v>Round</x:v>
      </x:c>
      <x:c r="D51" s="21" t="str">
        <x:v>Metric</x:v>
      </x:c>
      <x:c r="E51" s="21" t="str">
        <x:v>Results</x:v>
      </x:c>
      <x:c r="F51" s="21" t="str">
        <x:v>Recorded values</x:v>
      </x:c>
      <x:c r="G51" s="21" t="str">
        <x:v>Recorded only</x:v>
      </x:c>
      <x:c r="H51" s="21" t="str">
        <x:v>All results (missing = 0%)</x:v>
      </x:c>
    </x:row>
    <x:row r="52" ht="23" customHeight="1">
      <x:c r="B52" s="18" t="str">
        <x:f>'Coverage'!B7</x:f>
        <x:v>All projects</x:v>
      </x:c>
      <x:c r="C52" s="18" t="str">
        <x:f>'Coverage'!C7</x:f>
        <x:v>All rounds</x:v>
      </x:c>
      <x:c r="D52" s="18" t="str">
        <x:f>'Coverage'!D7</x:f>
        <x:v>Line</x:v>
      </x:c>
      <x:c r="E52" s="22" t="n">
        <x:f>'Coverage'!E7</x:f>
        <x:v>1704</x:v>
      </x:c>
      <x:c r="F52" s="22" t="n">
        <x:f>'Coverage'!F7</x:f>
        <x:v>625</x:v>
      </x:c>
      <x:c r="G52" s="23" t="n">
        <x:f>'Coverage'!G7</x:f>
        <x:v>0.7218392000000006</x:v>
      </x:c>
      <x:c r="H52" s="23" t="n">
        <x:f>'Coverage'!H7</x:f>
        <x:v>0.26475909624413163</x:v>
      </x:c>
    </x:row>
    <x:row r="53" ht="23" customHeight="1">
      <x:c r="B53" s="18" t="str">
        <x:f>'Coverage'!B8</x:f>
        <x:v>All projects</x:v>
      </x:c>
      <x:c r="C53" s="18" t="str">
        <x:f>'Coverage'!C8</x:f>
        <x:v>All rounds</x:v>
      </x:c>
      <x:c r="D53" s="18" t="str">
        <x:f>'Coverage'!D8</x:f>
        <x:v>Condition</x:v>
      </x:c>
      <x:c r="E53" s="22" t="n">
        <x:f>'Coverage'!E8</x:f>
        <x:v>1704</x:v>
      </x:c>
      <x:c r="F53" s="22" t="n">
        <x:f>'Coverage'!F8</x:f>
        <x:v>616</x:v>
      </x:c>
      <x:c r="G53" s="23" t="n">
        <x:f>'Coverage'!G8</x:f>
        <x:v>0.6421681818181818</x:v>
      </x:c>
      <x:c r="H53" s="23" t="n">
        <x:f>'Coverage'!H8</x:f>
        <x:v>0.23214530516431925</x:v>
      </x:c>
    </x:row>
    <x:row r="54" ht="23" customHeight="1">
      <x:c r="B54" s="18" t="str">
        <x:f>'Coverage'!B9</x:f>
        <x:v>All projects</x:v>
      </x:c>
      <x:c r="C54" s="18" t="str">
        <x:f>'Coverage'!C9</x:f>
        <x:v>Round1</x:v>
      </x:c>
      <x:c r="D54" s="18" t="str">
        <x:f>'Coverage'!D9</x:f>
        <x:v>Line</x:v>
      </x:c>
      <x:c r="E54" s="22" t="n">
        <x:f>'Coverage'!E9</x:f>
        <x:v>852</x:v>
      </x:c>
      <x:c r="F54" s="22" t="n">
        <x:f>'Coverage'!F9</x:f>
        <x:v>216</x:v>
      </x:c>
      <x:c r="G54" s="23" t="n">
        <x:f>'Coverage'!G9</x:f>
        <x:v>0.7394115740740739</x:v>
      </x:c>
      <x:c r="H54" s="23" t="n">
        <x:f>'Coverage'!H9</x:f>
        <x:v>0.187456455399061</x:v>
      </x:c>
    </x:row>
    <x:row r="55" ht="23" customHeight="1">
      <x:c r="B55" s="18" t="str">
        <x:f>'Coverage'!B10</x:f>
        <x:v>All projects</x:v>
      </x:c>
      <x:c r="C55" s="18" t="str">
        <x:f>'Coverage'!C10</x:f>
        <x:v>Round1</x:v>
      </x:c>
      <x:c r="D55" s="18" t="str">
        <x:f>'Coverage'!D10</x:f>
        <x:v>Condition</x:v>
      </x:c>
      <x:c r="E55" s="22" t="n">
        <x:f>'Coverage'!E10</x:f>
        <x:v>852</x:v>
      </x:c>
      <x:c r="F55" s="22" t="n">
        <x:f>'Coverage'!F10</x:f>
        <x:v>212</x:v>
      </x:c>
      <x:c r="G55" s="23" t="n">
        <x:f>'Coverage'!G10</x:f>
        <x:v>0.6608867924528302</x:v>
      </x:c>
      <x:c r="H55" s="23" t="n">
        <x:f>'Coverage'!H10</x:f>
        <x:v>0.16444600938967135</x:v>
      </x:c>
    </x:row>
    <x:row r="56" ht="23" customHeight="1">
      <x:c r="B56" s="18" t="str">
        <x:f>'Coverage'!B11</x:f>
        <x:v>All projects</x:v>
      </x:c>
      <x:c r="C56" s="18" t="str">
        <x:f>'Coverage'!C11</x:f>
        <x:v>Round2</x:v>
      </x:c>
      <x:c r="D56" s="18" t="str">
        <x:f>'Coverage'!D11</x:f>
        <x:v>Line</x:v>
      </x:c>
      <x:c r="E56" s="22" t="n">
        <x:f>'Coverage'!E11</x:f>
        <x:v>852</x:v>
      </x:c>
      <x:c r="F56" s="22" t="n">
        <x:f>'Coverage'!F11</x:f>
        <x:v>409</x:v>
      </x:c>
      <x:c r="G56" s="23" t="n">
        <x:f>'Coverage'!G11</x:f>
        <x:v>0.7125589242053791</x:v>
      </x:c>
      <x:c r="H56" s="23" t="n">
        <x:f>'Coverage'!H11</x:f>
        <x:v>0.34206173708920196</x:v>
      </x:c>
    </x:row>
    <x:row r="57" ht="23" customHeight="1">
      <x:c r="B57" s="18" t="str">
        <x:f>'Coverage'!B12</x:f>
        <x:v>All projects</x:v>
      </x:c>
      <x:c r="C57" s="18" t="str">
        <x:f>'Coverage'!C12</x:f>
        <x:v>Round2</x:v>
      </x:c>
      <x:c r="D57" s="18" t="str">
        <x:f>'Coverage'!D12</x:f>
        <x:v>Condition</x:v>
      </x:c>
      <x:c r="E57" s="22" t="n">
        <x:f>'Coverage'!E12</x:f>
        <x:v>852</x:v>
      </x:c>
      <x:c r="F57" s="22" t="n">
        <x:f>'Coverage'!F12</x:f>
        <x:v>404</x:v>
      </x:c>
      <x:c r="G57" s="23" t="n">
        <x:f>'Coverage'!G12</x:f>
        <x:v>0.6323455445544557</x:v>
      </x:c>
      <x:c r="H57" s="23" t="n">
        <x:f>'Coverage'!H12</x:f>
        <x:v>0.29984460093896725</x:v>
      </x:c>
    </x:row>
  </x:sheetData>
  <x:mergeCells>
    <x:mergeCell ref="B2:E2"/>
    <x:mergeCell ref="B3:E3"/>
    <x:mergeCell ref="B23:E23"/>
    <x:mergeCell ref="B24:E24"/>
    <x:mergeCell ref="B25:E25"/>
    <x:mergeCell ref="B48:H48"/>
    <x:mergeCell ref="B49:H49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 xml:space="preserve">lines_total</x:t>
        </x:is>
      </x:c>
      <x:c r="K1" s="15" t="inlineStr">
        <x:is>
          <x:t xml:space="preserve">lines_covered</x:t>
        </x:is>
      </x:c>
      <x:c r="L1" s="15" t="inlineStr">
        <x:is>
          <x:t xml:space="preserve">conditions_total</x:t>
        </x:is>
      </x:c>
      <x:c r="M1" s="15" t="inlineStr">
        <x:is>
          <x:t xml:space="preserve">conditions_covered</x:t>
        </x:is>
      </x:c>
      <x:c r="N1" s="15" t="inlineStr">
        <x:is>
          <x:t xml:space="preserve">condition_coverage</x:t>
        </x:is>
      </x:c>
    </x:row>
    <x:row r="2" ht="24" customHeight="1">
      <x:c r="A2" s="1" t="inlineStr">
        <x:is>
          <x:t xml:space="preserve">RESULT</x:t>
        </x:is>
      </x:c>
      <x:c r="B2" s="1" t="inlineStr">
        <x:is>
          <x:t xml:space="preserve">Round1</x:t>
        </x:is>
      </x:c>
      <x:c r="C2" s="1" t="inlineStr">
        <x:is>
          <x:t xml:space="preserve">Chart_1</x:t>
        </x:is>
      </x:c>
      <x:c r="D2" s="1" t="inlineStr">
        <x:is>
          <x:t xml:space="preserve">NOT_AVAILABLE</x:t>
        </x:is>
      </x:c>
      <x:c r="E2" s="5"/>
      <x:c r="F2" s="4">
        <x:v>0</x:v>
      </x:c>
      <x:c r="G2" s="4">
        <x:v>15522</x:v>
      </x:c>
      <x:c r="H2" s="6">
        <x:v>249.98</x:v>
      </x:c>
      <x:c r="I2" s="16">
        <x:v>1</x:v>
      </x:c>
      <x:c r="J2"/>
      <x:c r="K2" s="4"/>
      <x:c r="L2" s="4"/>
      <x:c r="M2" s="4"/>
      <x:c r="N2" s="5"/>
    </x:row>
    <x:row r="3" ht="24" customHeight="1">
      <x:c r="A3" s="1" t="inlineStr">
        <x:is>
          <x:t xml:space="preserve">RESULT</x:t>
        </x:is>
      </x:c>
      <x:c r="B3" s="1" t="inlineStr">
        <x:is>
          <x:t xml:space="preserve">Round1</x:t>
        </x:is>
      </x:c>
      <x:c r="C3" s="1" t="inlineStr">
        <x:is>
          <x:t xml:space="preserve">Chart_10</x:t>
        </x:is>
      </x:c>
      <x:c r="D3" s="1" t="inlineStr">
        <x:is>
          <x:t xml:space="preserve">INCONCLUSIVE</x:t>
        </x:is>
      </x:c>
      <x:c r="E3" s="5">
        <x:v>1.0</x:v>
      </x:c>
      <x:c r="F3" s="4">
        <x:v>0</x:v>
      </x:c>
      <x:c r="G3" s="4">
        <x:v>2374</x:v>
      </x:c>
      <x:c r="H3" s="6">
        <x:v>26.61</x:v>
      </x:c>
      <x:c r="I3" s="16">
        <x:v>1</x:v>
      </x:c>
      <x:c r="J3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 xml:space="preserve">RESULT</x:t>
        </x:is>
      </x:c>
      <x:c r="B4" s="1" t="inlineStr">
        <x:is>
          <x:t xml:space="preserve">Round1</x:t>
        </x:is>
      </x:c>
      <x:c r="C4" s="1" t="inlineStr">
        <x:is>
          <x:t xml:space="preserve">Chart_11</x:t>
        </x:is>
      </x:c>
      <x:c r="D4" s="1" t="inlineStr">
        <x:is>
          <x:t xml:space="preserve">NOT_AVAILABLE</x:t>
        </x:is>
      </x:c>
      <x:c r="E4" s="5"/>
      <x:c r="F4" s="4">
        <x:v>0</x:v>
      </x:c>
      <x:c r="G4" s="4">
        <x:v>10677</x:v>
      </x:c>
      <x:c r="H4" s="6">
        <x:v>178.43</x:v>
      </x:c>
      <x:c r="I4" s="16">
        <x:v>1</x:v>
      </x:c>
      <x:c r="J4"/>
      <x:c r="K4" s="4"/>
      <x:c r="L4" s="4"/>
      <x:c r="M4" s="4"/>
      <x:c r="N4" s="5"/>
    </x:row>
    <x:row r="5" ht="24" customHeight="1">
      <x:c r="A5" s="1" t="inlineStr">
        <x:is>
          <x:t xml:space="preserve">RESULT</x:t>
        </x:is>
      </x:c>
      <x:c r="B5" s="1" t="inlineStr">
        <x:is>
          <x:t xml:space="preserve">Round1</x:t>
        </x:is>
      </x:c>
      <x:c r="C5" s="1" t="inlineStr">
        <x:is>
          <x:t xml:space="preserve">Chart_12</x:t>
        </x:is>
      </x:c>
      <x:c r="D5" s="1" t="inlineStr">
        <x:is>
          <x:t xml:space="preserve">NOT_AVAILABLE</x:t>
        </x:is>
      </x:c>
      <x:c r="E5" s="5"/>
      <x:c r="F5" s="4">
        <x:v>0</x:v>
      </x:c>
      <x:c r="G5" s="4">
        <x:v>8066</x:v>
      </x:c>
      <x:c r="H5" s="6">
        <x:v>86.91</x:v>
      </x:c>
      <x:c r="I5" s="16">
        <x:v>1</x:v>
      </x:c>
      <x:c r="J5"/>
      <x:c r="K5" s="4"/>
      <x:c r="L5" s="4"/>
      <x:c r="M5" s="4"/>
      <x:c r="N5" s="5"/>
    </x:row>
    <x:row r="6" ht="24" customHeight="1">
      <x:c r="A6" s="1" t="inlineStr">
        <x:is>
          <x:t xml:space="preserve">RESULT</x:t>
        </x:is>
      </x:c>
      <x:c r="B6" s="1" t="inlineStr">
        <x:is>
          <x:t xml:space="preserve">Round1</x:t>
        </x:is>
      </x:c>
      <x:c r="C6" s="1" t="inlineStr">
        <x:is>
          <x:t xml:space="preserve">Chart_13</x:t>
        </x:is>
      </x:c>
      <x:c r="D6" s="1" t="inlineStr">
        <x:is>
          <x:t xml:space="preserve">NOT_AVAILABLE</x:t>
        </x:is>
      </x:c>
      <x:c r="E6" s="5"/>
      <x:c r="F6" s="4">
        <x:v>0</x:v>
      </x:c>
      <x:c r="G6" s="4">
        <x:v>8701</x:v>
      </x:c>
      <x:c r="H6" s="6">
        <x:v>108.86</x:v>
      </x:c>
      <x:c r="I6" s="16">
        <x:v>1</x:v>
      </x:c>
      <x:c r="J6"/>
      <x:c r="K6" s="4"/>
      <x:c r="L6" s="4"/>
      <x:c r="M6" s="4"/>
      <x:c r="N6" s="5"/>
    </x:row>
    <x:row r="7" ht="24" customHeight="1">
      <x:c r="A7" s="1" t="inlineStr">
        <x:is>
          <x:t xml:space="preserve">RESULT</x:t>
        </x:is>
      </x:c>
      <x:c r="B7" s="1" t="inlineStr">
        <x:is>
          <x:t xml:space="preserve">Round1</x:t>
        </x:is>
      </x:c>
      <x:c r="C7" s="1" t="inlineStr">
        <x:is>
          <x:t xml:space="preserve">Chart_14</x:t>
        </x:is>
      </x:c>
      <x:c r="D7" s="1" t="inlineStr">
        <x:is>
          <x:t xml:space="preserve">NOT_AVAILABLE</x:t>
        </x:is>
      </x:c>
      <x:c r="E7" s="5"/>
      <x:c r="F7" s="4">
        <x:v>0</x:v>
      </x:c>
      <x:c r="G7" s="4">
        <x:v>45991</x:v>
      </x:c>
      <x:c r="H7" s="6">
        <x:v>253.65</x:v>
      </x:c>
      <x:c r="I7" s="16">
        <x:v>1</x:v>
      </x:c>
      <x:c r="J7"/>
      <x:c r="K7" s="4"/>
      <x:c r="L7" s="4"/>
      <x:c r="M7" s="4"/>
      <x:c r="N7" s="5"/>
    </x:row>
    <x:row r="8" ht="24" customHeight="1">
      <x:c r="A8" s="1" t="inlineStr">
        <x:is>
          <x:t xml:space="preserve">RESULT</x:t>
        </x:is>
      </x:c>
      <x:c r="B8" s="1" t="inlineStr">
        <x:is>
          <x:t xml:space="preserve">Round1</x:t>
        </x:is>
      </x:c>
      <x:c r="C8" s="1" t="inlineStr">
        <x:is>
          <x:t xml:space="preserve">Chart_15</x:t>
        </x:is>
      </x:c>
      <x:c r="D8" s="1" t="inlineStr">
        <x:is>
          <x:t xml:space="preserve">INCONCLUSIVE</x:t>
        </x:is>
      </x:c>
      <x:c r="E8" s="5">
        <x:v>0.3014</x:v>
      </x:c>
      <x:c r="F8" s="4">
        <x:v>0</x:v>
      </x:c>
      <x:c r="G8" s="4">
        <x:v>16238</x:v>
      </x:c>
      <x:c r="H8" s="6">
        <x:v>92.95</x:v>
      </x:c>
      <x:c r="I8" s="16">
        <x:v>1</x:v>
      </x:c>
      <x:c r="J8">
        <x:v>836</x:v>
      </x:c>
      <x:c r="K8" s="4">
        <x:v>252</x:v>
      </x:c>
      <x:c r="L8" s="4">
        <x:v>312</x:v>
      </x:c>
      <x:c r="M8" s="4">
        <x:v>82</x:v>
      </x:c>
      <x:c r="N8" s="5">
        <x:v>0.26280000000000003</x:v>
      </x:c>
    </x:row>
    <x:row r="9" ht="24" customHeight="1">
      <x:c r="A9" s="1" t="inlineStr">
        <x:is>
          <x:t xml:space="preserve">RESULT</x:t>
        </x:is>
      </x:c>
      <x:c r="B9" s="1" t="inlineStr">
        <x:is>
          <x:t xml:space="preserve">Round1</x:t>
        </x:is>
      </x:c>
      <x:c r="C9" s="1" t="inlineStr">
        <x:is>
          <x:t xml:space="preserve">Chart_16</x:t>
        </x:is>
      </x:c>
      <x:c r="D9" s="1" t="inlineStr">
        <x:is>
          <x:t xml:space="preserve">NOT_AVAILABLE</x:t>
        </x:is>
      </x:c>
      <x:c r="E9" s="5"/>
      <x:c r="F9" s="4">
        <x:v>0</x:v>
      </x:c>
      <x:c r="G9" s="4">
        <x:v>7946</x:v>
      </x:c>
      <x:c r="H9" s="6">
        <x:v>161.99</x:v>
      </x:c>
      <x:c r="I9" s="16">
        <x:v>1</x:v>
      </x:c>
      <x:c r="J9"/>
      <x:c r="K9" s="4"/>
      <x:c r="L9" s="4"/>
      <x:c r="M9" s="4"/>
      <x:c r="N9" s="5"/>
    </x:row>
    <x:row r="10" ht="24" customHeight="1">
      <x:c r="A10" s="1" t="inlineStr">
        <x:is>
          <x:t xml:space="preserve">RESULT</x:t>
        </x:is>
      </x:c>
      <x:c r="B10" s="1" t="inlineStr">
        <x:is>
          <x:t xml:space="preserve">Round1</x:t>
        </x:is>
      </x:c>
      <x:c r="C10" s="1" t="inlineStr">
        <x:is>
          <x:t xml:space="preserve">Chart_17</x:t>
        </x:is>
      </x:c>
      <x:c r="D10" s="1" t="inlineStr">
        <x:is>
          <x:t xml:space="preserve">NOT_AVAILABLE</x:t>
        </x:is>
      </x:c>
      <x:c r="E10" s="5"/>
      <x:c r="F10" s="4">
        <x:v>0</x:v>
      </x:c>
      <x:c r="G10" s="4">
        <x:v>7955</x:v>
      </x:c>
      <x:c r="H10" s="6">
        <x:v>128.23</x:v>
      </x:c>
      <x:c r="I10" s="16">
        <x:v>1</x:v>
      </x:c>
      <x:c r="J10"/>
      <x:c r="K10" s="4"/>
      <x:c r="L10" s="4"/>
      <x:c r="M10" s="4"/>
      <x:c r="N10" s="5"/>
    </x:row>
    <x:row r="11" ht="24" customHeight="1">
      <x:c r="A11" s="1" t="inlineStr">
        <x:is>
          <x:t xml:space="preserve">RESULT</x:t>
        </x:is>
      </x:c>
      <x:c r="B11" s="1" t="inlineStr">
        <x:is>
          <x:t xml:space="preserve">Round1</x:t>
        </x:is>
      </x:c>
      <x:c r="C11" s="1" t="inlineStr">
        <x:is>
          <x:t xml:space="preserve">Chart_18</x:t>
        </x:is>
      </x:c>
      <x:c r="D11" s="1" t="inlineStr">
        <x:is>
          <x:t xml:space="preserve">INCONCLUSIVE</x:t>
        </x:is>
      </x:c>
      <x:c r="E11" s="5">
        <x:v>0.9586</x:v>
      </x:c>
      <x:c r="F11" s="4">
        <x:v>0</x:v>
      </x:c>
      <x:c r="G11" s="4">
        <x:v>15388</x:v>
      </x:c>
      <x:c r="H11" s="6">
        <x:v>208.68</x:v>
      </x:c>
      <x:c r="I11" s="16">
        <x:v>1</x:v>
      </x:c>
      <x:c r="J11">
        <x:v>266</x:v>
      </x:c>
      <x:c r="K11" s="4">
        <x:v>255</x:v>
      </x:c>
      <x:c r="L11" s="4">
        <x:v>122</x:v>
      </x:c>
      <x:c r="M11" s="4">
        <x:v>102</x:v>
      </x:c>
      <x:c r="N11" s="5">
        <x:v>0.8361</x:v>
      </x:c>
    </x:row>
    <x:row r="12" ht="24" customHeight="1">
      <x:c r="A12" s="1" t="inlineStr">
        <x:is>
          <x:t xml:space="preserve">RESULT</x:t>
        </x:is>
      </x:c>
      <x:c r="B12" s="1" t="inlineStr">
        <x:is>
          <x:t xml:space="preserve">Round1</x:t>
        </x:is>
      </x:c>
      <x:c r="C12" s="1" t="inlineStr">
        <x:is>
          <x:t xml:space="preserve">Chart_19</x:t>
        </x:is>
      </x:c>
      <x:c r="D12" s="1" t="inlineStr">
        <x:is>
          <x:t xml:space="preserve">NOT_AVAILABLE</x:t>
        </x:is>
      </x:c>
      <x:c r="E12" s="5"/>
      <x:c r="F12" s="4">
        <x:v>0</x:v>
      </x:c>
      <x:c r="G12" s="4">
        <x:v>21939</x:v>
      </x:c>
      <x:c r="H12" s="6">
        <x:v>200.93</x:v>
      </x:c>
      <x:c r="I12" s="16">
        <x:v>1</x:v>
      </x:c>
      <x:c r="J12"/>
      <x:c r="K12" s="4"/>
      <x:c r="L12" s="4"/>
      <x:c r="M12" s="4"/>
      <x:c r="N12" s="5"/>
    </x:row>
    <x:row r="13" ht="24" customHeight="1">
      <x:c r="A13" s="1" t="inlineStr">
        <x:is>
          <x:t xml:space="preserve">RESULT</x:t>
        </x:is>
      </x:c>
      <x:c r="B13" s="1" t="inlineStr">
        <x:is>
          <x:t xml:space="preserve">Round1</x:t>
        </x:is>
      </x:c>
      <x:c r="C13" s="1" t="inlineStr">
        <x:is>
          <x:t xml:space="preserve">Chart_2</x:t>
        </x:is>
      </x:c>
      <x:c r="D13" s="1" t="inlineStr">
        <x:is>
          <x:t xml:space="preserve">NOT_AVAILABLE</x:t>
        </x:is>
      </x:c>
      <x:c r="E13" s="5"/>
      <x:c r="F13" s="4">
        <x:v>0</x:v>
      </x:c>
      <x:c r="G13" s="4">
        <x:v>20930</x:v>
      </x:c>
      <x:c r="H13" s="6">
        <x:v>368.24</x:v>
      </x:c>
      <x:c r="I13" s="16">
        <x:v>1</x:v>
      </x:c>
      <x:c r="J13"/>
      <x:c r="K13" s="4"/>
      <x:c r="L13" s="4"/>
      <x:c r="M13" s="4"/>
      <x:c r="N13" s="5"/>
    </x:row>
    <x:row r="14" ht="24" customHeight="1">
      <x:c r="A14" s="1" t="inlineStr">
        <x:is>
          <x:t xml:space="preserve">RESULT</x:t>
        </x:is>
      </x:c>
      <x:c r="B14" s="1" t="inlineStr">
        <x:is>
          <x:t xml:space="preserve">Round1</x:t>
        </x:is>
      </x:c>
      <x:c r="C14" s="1" t="inlineStr">
        <x:is>
          <x:t xml:space="preserve">Chart_20</x:t>
        </x:is>
      </x:c>
      <x:c r="D14" s="1" t="inlineStr">
        <x:is>
          <x:t xml:space="preserve">NOT_AVAILABLE</x:t>
        </x:is>
      </x:c>
      <x:c r="E14" s="5"/>
      <x:c r="F14" s="4">
        <x:v>0</x:v>
      </x:c>
      <x:c r="G14" s="4">
        <x:v>3506</x:v>
      </x:c>
      <x:c r="H14" s="6">
        <x:v>50.93</x:v>
      </x:c>
      <x:c r="I14" s="16">
        <x:v>1</x:v>
      </x:c>
      <x:c r="J14"/>
      <x:c r="K14" s="4"/>
      <x:c r="L14" s="4"/>
      <x:c r="M14" s="4"/>
      <x:c r="N14" s="5"/>
    </x:row>
    <x:row r="15" ht="24" customHeight="1">
      <x:c r="A15" s="1" t="inlineStr">
        <x:is>
          <x:t xml:space="preserve">RESULT</x:t>
        </x:is>
      </x:c>
      <x:c r="B15" s="1" t="inlineStr">
        <x:is>
          <x:t xml:space="preserve">Round1</x:t>
        </x:is>
      </x:c>
      <x:c r="C15" s="1" t="inlineStr">
        <x:is>
          <x:t xml:space="preserve">Chart_21</x:t>
        </x:is>
      </x:c>
      <x:c r="D15" s="1" t="inlineStr">
        <x:is>
          <x:t xml:space="preserve">INCONCLUSIVE</x:t>
        </x:is>
      </x:c>
      <x:c r="E15" s="5">
        <x:v>0.5589999999999999</x:v>
      </x:c>
      <x:c r="F15" s="4">
        <x:v>0</x:v>
      </x:c>
      <x:c r="G15" s="4">
        <x:v>9500</x:v>
      </x:c>
      <x:c r="H15" s="6">
        <x:v>111.53</x:v>
      </x:c>
      <x:c r="I15" s="16">
        <x:v>1</x:v>
      </x:c>
      <x:c r="J15">
        <x:v>161</x:v>
      </x:c>
      <x:c r="K15" s="4">
        <x:v>90</x:v>
      </x:c>
      <x:c r="L15" s="4">
        <x:v>60</x:v>
      </x:c>
      <x:c r="M15" s="4">
        <x:v>24</x:v>
      </x:c>
      <x:c r="N15" s="5">
        <x:v>0.4</x:v>
      </x:c>
    </x:row>
    <x:row r="16" ht="24" customHeight="1">
      <x:c r="A16" s="1" t="inlineStr">
        <x:is>
          <x:t xml:space="preserve">RESULT</x:t>
        </x:is>
      </x:c>
      <x:c r="B16" s="1" t="inlineStr">
        <x:is>
          <x:t xml:space="preserve">Round1</x:t>
        </x:is>
      </x:c>
      <x:c r="C16" s="1" t="inlineStr">
        <x:is>
          <x:t xml:space="preserve">Chart_22</x:t>
        </x:is>
      </x:c>
      <x:c r="D16" s="1" t="inlineStr">
        <x:is>
          <x:t xml:space="preserve">INCONCLUSIVE</x:t>
        </x:is>
      </x:c>
      <x:c r="E16" s="5">
        <x:v>0.9274</x:v>
      </x:c>
      <x:c r="F16" s="4">
        <x:v>0</x:v>
      </x:c>
      <x:c r="G16" s="4">
        <x:v>7245</x:v>
      </x:c>
      <x:c r="H16" s="6">
        <x:v>108.73</x:v>
      </x:c>
      <x:c r="I16" s="16">
        <x:v>1</x:v>
      </x:c>
      <x:c r="J16">
        <x:v>124</x:v>
      </x:c>
      <x:c r="K16" s="4">
        <x:v>115</x:v>
      </x:c>
      <x:c r="L16" s="4">
        <x:v>58</x:v>
      </x:c>
      <x:c r="M16" s="4">
        <x:v>47</x:v>
      </x:c>
      <x:c r="N16" s="5">
        <x:v>0.8103</x:v>
      </x:c>
    </x:row>
    <x:row r="17" ht="24" customHeight="1">
      <x:c r="A17" s="1" t="inlineStr">
        <x:is>
          <x:t xml:space="preserve">RESULT</x:t>
        </x:is>
      </x:c>
      <x:c r="B17" s="1" t="inlineStr">
        <x:is>
          <x:t xml:space="preserve">Round1</x:t>
        </x:is>
      </x:c>
      <x:c r="C17" s="1" t="inlineStr">
        <x:is>
          <x:t xml:space="preserve">Chart_23</x:t>
        </x:is>
      </x:c>
      <x:c r="D17" s="1" t="inlineStr">
        <x:is>
          <x:t xml:space="preserve">NOT_AVAILABLE</x:t>
        </x:is>
      </x:c>
      <x:c r="E17" s="5"/>
      <x:c r="F17" s="4">
        <x:v>0</x:v>
      </x:c>
      <x:c r="G17" s="4">
        <x:v>7463</x:v>
      </x:c>
      <x:c r="H17" s="6">
        <x:v>75.13</x:v>
      </x:c>
      <x:c r="I17" s="16">
        <x:v>1</x:v>
      </x:c>
      <x:c r="J17"/>
      <x:c r="K17" s="4"/>
      <x:c r="L17" s="4"/>
      <x:c r="M17" s="4"/>
      <x:c r="N17" s="5"/>
    </x:row>
    <x:row r="18" ht="24" customHeight="1">
      <x:c r="A18" s="1" t="inlineStr">
        <x:is>
          <x:t xml:space="preserve">RESULT</x:t>
        </x:is>
      </x:c>
      <x:c r="B18" s="1" t="inlineStr">
        <x:is>
          <x:t xml:space="preserve">Round1</x:t>
        </x:is>
      </x:c>
      <x:c r="C18" s="1" t="inlineStr">
        <x:is>
          <x:t xml:space="preserve">Chart_24</x:t>
        </x:is>
      </x:c>
      <x:c r="D18" s="1" t="inlineStr">
        <x:is>
          <x:t xml:space="preserve">INCONCLUSIVE</x:t>
        </x:is>
      </x:c>
      <x:c r="E18" s="5">
        <x:v>1.0</x:v>
      </x:c>
      <x:c r="F18" s="4">
        <x:v>0</x:v>
      </x:c>
      <x:c r="G18" s="4">
        <x:v>3453</x:v>
      </x:c>
      <x:c r="H18" s="6">
        <x:v>39.42</x:v>
      </x:c>
      <x:c r="I18" s="16">
        <x:v>1</x:v>
      </x:c>
      <x:c r="J18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 xml:space="preserve">RESULT</x:t>
        </x:is>
      </x:c>
      <x:c r="B19" s="1" t="inlineStr">
        <x:is>
          <x:t xml:space="preserve">Round1</x:t>
        </x:is>
      </x:c>
      <x:c r="C19" s="1" t="inlineStr">
        <x:is>
          <x:t xml:space="preserve">Chart_25</x:t>
        </x:is>
      </x:c>
      <x:c r="D19" s="1" t="inlineStr">
        <x:is>
          <x:t xml:space="preserve">NOT_AVAILABLE</x:t>
        </x:is>
      </x:c>
      <x:c r="E19" s="5"/>
      <x:c r="F19" s="4">
        <x:v>0</x:v>
      </x:c>
      <x:c r="G19" s="4">
        <x:v>8284</x:v>
      </x:c>
      <x:c r="H19" s="6">
        <x:v>98.58</x:v>
      </x:c>
      <x:c r="I19" s="16">
        <x:v>1</x:v>
      </x:c>
      <x:c r="J19"/>
      <x:c r="K19" s="4"/>
      <x:c r="L19" s="4"/>
      <x:c r="M19" s="4"/>
      <x:c r="N19" s="5"/>
    </x:row>
    <x:row r="20" ht="24" customHeight="1">
      <x:c r="A20" s="1" t="inlineStr">
        <x:is>
          <x:t xml:space="preserve">RESULT</x:t>
        </x:is>
      </x:c>
      <x:c r="B20" s="1" t="inlineStr">
        <x:is>
          <x:t xml:space="preserve">Round1</x:t>
        </x:is>
      </x:c>
      <x:c r="C20" s="1" t="inlineStr">
        <x:is>
          <x:t xml:space="preserve">Chart_26</x:t>
        </x:is>
      </x:c>
      <x:c r="D20" s="1" t="inlineStr">
        <x:is>
          <x:t xml:space="preserve">NOT_AVAILABLE</x:t>
        </x:is>
      </x:c>
      <x:c r="E20" s="5"/>
      <x:c r="F20" s="4">
        <x:v>0</x:v>
      </x:c>
      <x:c r="G20" s="4">
        <x:v>9020</x:v>
      </x:c>
      <x:c r="H20" s="6">
        <x:v>99.84</x:v>
      </x:c>
      <x:c r="I20" s="16">
        <x:v>1</x:v>
      </x:c>
      <x:c r="J20"/>
      <x:c r="K20" s="4"/>
      <x:c r="L20" s="4"/>
      <x:c r="M20" s="4"/>
      <x:c r="N20" s="5"/>
    </x:row>
    <x:row r="21" ht="24" customHeight="1">
      <x:c r="A21" s="1" t="inlineStr">
        <x:is>
          <x:t xml:space="preserve">RESULT</x:t>
        </x:is>
      </x:c>
      <x:c r="B21" s="1" t="inlineStr">
        <x:is>
          <x:t xml:space="preserve">Round1</x:t>
        </x:is>
      </x:c>
      <x:c r="C21" s="1" t="inlineStr">
        <x:is>
          <x:t xml:space="preserve">Chart_3</x:t>
        </x:is>
      </x:c>
      <x:c r="D21" s="1" t="inlineStr">
        <x:is>
          <x:t xml:space="preserve">NOT_AVAILABLE</x:t>
        </x:is>
      </x:c>
      <x:c r="E21" s="5"/>
      <x:c r="F21" s="4">
        <x:v>0</x:v>
      </x:c>
      <x:c r="G21" s="4">
        <x:v>10469</x:v>
      </x:c>
      <x:c r="H21" s="6">
        <x:v>185.53</x:v>
      </x:c>
      <x:c r="I21" s="16">
        <x:v>1</x:v>
      </x:c>
      <x:c r="J21"/>
      <x:c r="K21" s="4"/>
      <x:c r="L21" s="4"/>
      <x:c r="M21" s="4"/>
      <x:c r="N21" s="5"/>
    </x:row>
    <x:row r="22" ht="24" customHeight="1">
      <x:c r="A22" s="1" t="inlineStr">
        <x:is>
          <x:t xml:space="preserve">RESULT</x:t>
        </x:is>
      </x:c>
      <x:c r="B22" s="1" t="inlineStr">
        <x:is>
          <x:t xml:space="preserve">Round1</x:t>
        </x:is>
      </x:c>
      <x:c r="C22" s="1" t="inlineStr">
        <x:is>
          <x:t xml:space="preserve">Chart_4</x:t>
        </x:is>
      </x:c>
      <x:c r="D22" s="1" t="inlineStr">
        <x:is>
          <x:t xml:space="preserve">NOT_AVAILABLE</x:t>
        </x:is>
      </x:c>
      <x:c r="E22" s="5"/>
      <x:c r="F22" s="4">
        <x:v>0</x:v>
      </x:c>
      <x:c r="G22" s="4">
        <x:v>29362</x:v>
      </x:c>
      <x:c r="H22" s="6">
        <x:v>140.55</x:v>
      </x:c>
      <x:c r="I22" s="16">
        <x:v>1</x:v>
      </x:c>
      <x:c r="J22"/>
      <x:c r="K22" s="4"/>
      <x:c r="L22" s="4"/>
      <x:c r="M22" s="4"/>
      <x:c r="N22" s="5"/>
    </x:row>
    <x:row r="23" ht="24" customHeight="1">
      <x:c r="A23" s="1" t="inlineStr">
        <x:is>
          <x:t xml:space="preserve">RESULT</x:t>
        </x:is>
      </x:c>
      <x:c r="B23" s="1" t="inlineStr">
        <x:is>
          <x:t xml:space="preserve">Round1</x:t>
        </x:is>
      </x:c>
      <x:c r="C23" s="1" t="inlineStr">
        <x:is>
          <x:t xml:space="preserve">Chart_5</x:t>
        </x:is>
      </x:c>
      <x:c r="D23" s="1" t="inlineStr">
        <x:is>
          <x:t xml:space="preserve">NOT_AVAILABLE</x:t>
        </x:is>
      </x:c>
      <x:c r="E23" s="5"/>
      <x:c r="F23" s="4">
        <x:v>0</x:v>
      </x:c>
      <x:c r="G23" s="4">
        <x:v>10276</x:v>
      </x:c>
      <x:c r="H23" s="6">
        <x:v>129.75</x:v>
      </x:c>
      <x:c r="I23" s="16">
        <x:v>1</x:v>
      </x:c>
      <x:c r="J23"/>
      <x:c r="K23" s="4"/>
      <x:c r="L23" s="4"/>
      <x:c r="M23" s="4"/>
      <x:c r="N23" s="5"/>
    </x:row>
    <x:row r="24" ht="24" customHeight="1">
      <x:c r="A24" s="1" t="inlineStr">
        <x:is>
          <x:t xml:space="preserve">RESULT</x:t>
        </x:is>
      </x:c>
      <x:c r="B24" s="1" t="inlineStr">
        <x:is>
          <x:t xml:space="preserve">Round1</x:t>
        </x:is>
      </x:c>
      <x:c r="C24" s="1" t="inlineStr">
        <x:is>
          <x:t xml:space="preserve">Chart_6</x:t>
        </x:is>
      </x:c>
      <x:c r="D24" s="1" t="inlineStr">
        <x:is>
          <x:t xml:space="preserve">NOT_AVAILABLE</x:t>
        </x:is>
      </x:c>
      <x:c r="E24" s="5"/>
      <x:c r="F24" s="4">
        <x:v>0</x:v>
      </x:c>
      <x:c r="G24" s="4">
        <x:v>5073</x:v>
      </x:c>
      <x:c r="H24" s="6">
        <x:v>113.44</x:v>
      </x:c>
      <x:c r="I24" s="16">
        <x:v>1</x:v>
      </x:c>
      <x:c r="J24"/>
      <x:c r="K24" s="4"/>
      <x:c r="L24" s="4"/>
      <x:c r="M24" s="4"/>
      <x:c r="N24" s="5"/>
    </x:row>
    <x:row r="25" ht="24" customHeight="1">
      <x:c r="A25" s="1" t="inlineStr">
        <x:is>
          <x:t xml:space="preserve">RESULT</x:t>
        </x:is>
      </x:c>
      <x:c r="B25" s="1" t="inlineStr">
        <x:is>
          <x:t xml:space="preserve">Round1</x:t>
        </x:is>
      </x:c>
      <x:c r="C25" s="1" t="inlineStr">
        <x:is>
          <x:t xml:space="preserve">Chart_7</x:t>
        </x:is>
      </x:c>
      <x:c r="D25" s="1" t="inlineStr">
        <x:is>
          <x:t xml:space="preserve">NOT_AVAILABLE</x:t>
        </x:is>
      </x:c>
      <x:c r="E25" s="5"/>
      <x:c r="F25" s="4">
        <x:v>0</x:v>
      </x:c>
      <x:c r="G25" s="4">
        <x:v>9589</x:v>
      </x:c>
      <x:c r="H25" s="6">
        <x:v>169.14</x:v>
      </x:c>
      <x:c r="I25" s="16">
        <x:v>1</x:v>
      </x:c>
      <x:c r="J25"/>
      <x:c r="K25" s="4"/>
      <x:c r="L25" s="4"/>
      <x:c r="M25" s="4"/>
      <x:c r="N25" s="5"/>
    </x:row>
    <x:row r="26" ht="24" customHeight="1">
      <x:c r="A26" s="1" t="inlineStr">
        <x:is>
          <x:t xml:space="preserve">RESULT</x:t>
        </x:is>
      </x:c>
      <x:c r="B26" s="1" t="inlineStr">
        <x:is>
          <x:t xml:space="preserve">Round1</x:t>
        </x:is>
      </x:c>
      <x:c r="C26" s="1" t="inlineStr">
        <x:is>
          <x:t xml:space="preserve">Chart_8</x:t>
        </x:is>
      </x:c>
      <x:c r="D26" s="1" t="inlineStr">
        <x:is>
          <x:t xml:space="preserve">INCONCLUSIVE</x:t>
        </x:is>
      </x:c>
      <x:c r="E26" s="5">
        <x:v>0.7345999999999999</x:v>
      </x:c>
      <x:c r="F26" s="4">
        <x:v>0</x:v>
      </x:c>
      <x:c r="G26" s="4">
        <x:v>7907</x:v>
      </x:c>
      <x:c r="H26" s="6">
        <x:v>63.22</x:v>
      </x:c>
      <x:c r="I26" s="16">
        <x:v>1</x:v>
      </x:c>
      <x:c r="J26">
        <x:v>162</x:v>
      </x:c>
      <x:c r="K26" s="4">
        <x:v>119</x:v>
      </x:c>
      <x:c r="L26" s="4">
        <x:v>68</x:v>
      </x:c>
      <x:c r="M26" s="4">
        <x:v>35</x:v>
      </x:c>
      <x:c r="N26" s="5">
        <x:v>0.5146999999999999</x:v>
      </x:c>
    </x:row>
    <x:row r="27" ht="24" customHeight="1">
      <x:c r="A27" s="1" t="inlineStr">
        <x:is>
          <x:t xml:space="preserve">RESULT</x:t>
        </x:is>
      </x:c>
      <x:c r="B27" s="1" t="inlineStr">
        <x:is>
          <x:t xml:space="preserve">Round1</x:t>
        </x:is>
      </x:c>
      <x:c r="C27" s="1" t="inlineStr">
        <x:is>
          <x:t xml:space="preserve">Chart_9</x:t>
        </x:is>
      </x:c>
      <x:c r="D27" s="1" t="inlineStr">
        <x:is>
          <x:t xml:space="preserve">NOT_AVAILABLE</x:t>
        </x:is>
      </x:c>
      <x:c r="E27" s="5"/>
      <x:c r="F27" s="4">
        <x:v>0</x:v>
      </x:c>
      <x:c r="G27" s="4">
        <x:v>8721</x:v>
      </x:c>
      <x:c r="H27" s="6">
        <x:v>155.22</x:v>
      </x:c>
      <x:c r="I27" s="16">
        <x:v>1</x:v>
      </x:c>
      <x:c r="J27"/>
      <x:c r="K27" s="4"/>
      <x:c r="L27" s="4"/>
      <x:c r="M27" s="4"/>
      <x:c r="N27" s="5"/>
    </x:row>
    <x:row r="28" ht="24" customHeight="1">
      <x:c r="A28" s="1" t="inlineStr">
        <x:is>
          <x:t xml:space="preserve">RESULT</x:t>
        </x:is>
      </x:c>
      <x:c r="B28" s="1" t="inlineStr">
        <x:is>
          <x:t xml:space="preserve">Round1</x:t>
        </x:is>
      </x:c>
      <x:c r="C28" s="1" t="inlineStr">
        <x:is>
          <x:t xml:space="preserve">Cli_1</x:t>
        </x:is>
      </x:c>
      <x:c r="D28" s="1" t="inlineStr">
        <x:is>
          <x:t xml:space="preserve">NOT_AVAILABLE</x:t>
        </x:is>
      </x:c>
      <x:c r="E28" s="5"/>
      <x:c r="F28" s="4">
        <x:v>0</x:v>
      </x:c>
      <x:c r="G28" s="4">
        <x:v>5194</x:v>
      </x:c>
      <x:c r="H28" s="6">
        <x:v>87.16</x:v>
      </x:c>
      <x:c r="I28" s="16">
        <x:v>1</x:v>
      </x:c>
      <x:c r="J28"/>
      <x:c r="K28" s="4"/>
      <x:c r="L28" s="4"/>
      <x:c r="M28" s="4"/>
      <x:c r="N28" s="5"/>
    </x:row>
    <x:row r="29" ht="24" customHeight="1">
      <x:c r="A29" s="1" t="inlineStr">
        <x:is>
          <x:t xml:space="preserve">RESULT</x:t>
        </x:is>
      </x:c>
      <x:c r="B29" s="1" t="inlineStr">
        <x:is>
          <x:t xml:space="preserve">Round1</x:t>
        </x:is>
      </x:c>
      <x:c r="C29" s="1" t="inlineStr">
        <x:is>
          <x:t xml:space="preserve">Cli_10</x:t>
        </x:is>
      </x:c>
      <x:c r="D29" s="1" t="inlineStr">
        <x:is>
          <x:t xml:space="preserve">NOT_AVAILABLE</x:t>
        </x:is>
      </x:c>
      <x:c r="E29" s="5"/>
      <x:c r="F29" s="4">
        <x:v>0</x:v>
      </x:c>
      <x:c r="G29" s="4">
        <x:v>5945</x:v>
      </x:c>
      <x:c r="H29" s="6">
        <x:v>87.69</x:v>
      </x:c>
      <x:c r="I29" s="16">
        <x:v>1</x:v>
      </x:c>
      <x:c r="J29"/>
      <x:c r="K29" s="4"/>
      <x:c r="L29" s="4"/>
      <x:c r="M29" s="4"/>
      <x:c r="N29" s="5"/>
    </x:row>
    <x:row r="30" ht="24" customHeight="1">
      <x:c r="A30" s="1" t="inlineStr">
        <x:is>
          <x:t xml:space="preserve">RESULT</x:t>
        </x:is>
      </x:c>
      <x:c r="B30" s="1" t="inlineStr">
        <x:is>
          <x:t xml:space="preserve">Round1</x:t>
        </x:is>
      </x:c>
      <x:c r="C30" s="1" t="inlineStr">
        <x:is>
          <x:t xml:space="preserve">Cli_11</x:t>
        </x:is>
      </x:c>
      <x:c r="D30" s="1" t="inlineStr">
        <x:is>
          <x:t xml:space="preserve">NOT_AVAILABLE</x:t>
        </x:is>
      </x:c>
      <x:c r="E30" s="5"/>
      <x:c r="F30" s="4">
        <x:v>0</x:v>
      </x:c>
      <x:c r="G30" s="4">
        <x:v>7135</x:v>
      </x:c>
      <x:c r="H30" s="6">
        <x:v>125.36</x:v>
      </x:c>
      <x:c r="I30" s="16">
        <x:v>1</x:v>
      </x:c>
      <x:c r="J30"/>
      <x:c r="K30" s="4"/>
      <x:c r="L30" s="4"/>
      <x:c r="M30" s="4"/>
      <x:c r="N30" s="5"/>
    </x:row>
    <x:row r="31" ht="24" customHeight="1">
      <x:c r="A31" s="1" t="inlineStr">
        <x:is>
          <x:t xml:space="preserve">RESULT</x:t>
        </x:is>
      </x:c>
      <x:c r="B31" s="1" t="inlineStr">
        <x:is>
          <x:t xml:space="preserve">Round1</x:t>
        </x:is>
      </x:c>
      <x:c r="C31" s="1" t="inlineStr">
        <x:is>
          <x:t xml:space="preserve">Cli_12</x:t>
        </x:is>
      </x:c>
      <x:c r="D31" s="1" t="inlineStr">
        <x:is>
          <x:t xml:space="preserve">INCONCLUSIVE</x:t>
        </x:is>
      </x:c>
      <x:c r="E31" s="5">
        <x:v>0.0</x:v>
      </x:c>
      <x:c r="F31" s="4">
        <x:v>0</x:v>
      </x:c>
      <x:c r="G31" s="4">
        <x:v>2902</x:v>
      </x:c>
      <x:c r="H31" s="6">
        <x:v>36.87</x:v>
      </x:c>
      <x:c r="I31" s="16">
        <x:v>1</x:v>
      </x:c>
      <x:c r="J31">
        <x:v>25</x:v>
      </x:c>
      <x:c r="K31" s="4">
        <x:v>0</x:v>
      </x:c>
      <x:c r="L31" s="4">
        <x:v>16</x:v>
      </x:c>
      <x:c r="M31" s="4">
        <x:v>0</x:v>
      </x:c>
      <x:c r="N31" s="5">
        <x:v>0.0</x:v>
      </x:c>
    </x:row>
    <x:row r="32" ht="24" customHeight="1">
      <x:c r="A32" s="1" t="inlineStr">
        <x:is>
          <x:t xml:space="preserve">RESULT</x:t>
        </x:is>
      </x:c>
      <x:c r="B32" s="1" t="inlineStr">
        <x:is>
          <x:t xml:space="preserve">Round1</x:t>
        </x:is>
      </x:c>
      <x:c r="C32" s="1" t="inlineStr">
        <x:is>
          <x:t xml:space="preserve">Cli_13</x:t>
        </x:is>
      </x:c>
      <x:c r="D32" s="1" t="inlineStr">
        <x:is>
          <x:t xml:space="preserve">NOT_AVAILABLE</x:t>
        </x:is>
      </x:c>
      <x:c r="E32" s="5"/>
      <x:c r="F32" s="4">
        <x:v>0</x:v>
      </x:c>
      <x:c r="G32" s="4">
        <x:v>16705</x:v>
      </x:c>
      <x:c r="H32" s="6">
        <x:v>352.3</x:v>
      </x:c>
      <x:c r="I32" s="16">
        <x:v>1</x:v>
      </x:c>
      <x:c r="J32"/>
      <x:c r="K32" s="4"/>
      <x:c r="L32" s="4"/>
      <x:c r="M32" s="4"/>
      <x:c r="N32" s="5"/>
    </x:row>
    <x:row r="33" ht="24" customHeight="1">
      <x:c r="A33" s="1" t="inlineStr">
        <x:is>
          <x:t xml:space="preserve">RESULT</x:t>
        </x:is>
      </x:c>
      <x:c r="B33" s="1" t="inlineStr">
        <x:is>
          <x:t xml:space="preserve">Round1</x:t>
        </x:is>
      </x:c>
      <x:c r="C33" s="1" t="inlineStr">
        <x:is>
          <x:t xml:space="preserve">Cli_14</x:t>
        </x:is>
      </x:c>
      <x:c r="D33" s="1" t="inlineStr">
        <x:is>
          <x:t xml:space="preserve">NOT_AVAILABLE</x:t>
        </x:is>
      </x:c>
      <x:c r="E33" s="5"/>
      <x:c r="F33" s="4">
        <x:v>0</x:v>
      </x:c>
      <x:c r="G33" s="4">
        <x:v>6673</x:v>
      </x:c>
      <x:c r="H33" s="6">
        <x:v>96.95</x:v>
      </x:c>
      <x:c r="I33" s="16">
        <x:v>1</x:v>
      </x:c>
      <x:c r="J33"/>
      <x:c r="K33" s="4"/>
      <x:c r="L33" s="4"/>
      <x:c r="M33" s="4"/>
      <x:c r="N33" s="5"/>
    </x:row>
    <x:row r="34" ht="24" customHeight="1">
      <x:c r="A34" s="1" t="inlineStr">
        <x:is>
          <x:t xml:space="preserve">RESULT</x:t>
        </x:is>
      </x:c>
      <x:c r="B34" s="1" t="inlineStr">
        <x:is>
          <x:t xml:space="preserve">Round1</x:t>
        </x:is>
      </x:c>
      <x:c r="C34" s="1" t="inlineStr">
        <x:is>
          <x:t xml:space="preserve">Cli_15</x:t>
        </x:is>
      </x:c>
      <x:c r="D34" s="1" t="inlineStr">
        <x:is>
          <x:t xml:space="preserve">NOT_AVAILABLE</x:t>
        </x:is>
      </x:c>
      <x:c r="E34" s="5"/>
      <x:c r="F34" s="4">
        <x:v>0</x:v>
      </x:c>
      <x:c r="G34" s="4">
        <x:v>4952</x:v>
      </x:c>
      <x:c r="H34" s="6">
        <x:v>84.06</x:v>
      </x:c>
      <x:c r="I34" s="16">
        <x:v>1</x:v>
      </x:c>
      <x:c r="J34"/>
      <x:c r="K34" s="4"/>
      <x:c r="L34" s="4"/>
      <x:c r="M34" s="4"/>
      <x:c r="N34" s="5"/>
    </x:row>
    <x:row r="35" ht="24" customHeight="1">
      <x:c r="A35" s="1" t="inlineStr">
        <x:is>
          <x:t xml:space="preserve">RESULT</x:t>
        </x:is>
      </x:c>
      <x:c r="B35" s="1" t="inlineStr">
        <x:is>
          <x:t xml:space="preserve">Round1</x:t>
        </x:is>
      </x:c>
      <x:c r="C35" s="1" t="inlineStr">
        <x:is>
          <x:t xml:space="preserve">Cli_16</x:t>
        </x:is>
      </x:c>
      <x:c r="D35" s="1" t="inlineStr">
        <x:is>
          <x:t xml:space="preserve">NOT_AVAILABLE</x:t>
        </x:is>
      </x:c>
      <x:c r="E35" s="5"/>
      <x:c r="F35" s="4">
        <x:v>0</x:v>
      </x:c>
      <x:c r="G35" s="4">
        <x:v>23670</x:v>
      </x:c>
      <x:c r="H35" s="6">
        <x:v>465.21</x:v>
      </x:c>
      <x:c r="I35" s="16">
        <x:v>1</x:v>
      </x:c>
      <x:c r="J35"/>
      <x:c r="K35" s="4"/>
      <x:c r="L35" s="4"/>
      <x:c r="M35" s="4"/>
      <x:c r="N35" s="5"/>
    </x:row>
    <x:row r="36" ht="24" customHeight="1">
      <x:c r="A36" s="1" t="inlineStr">
        <x:is>
          <x:t xml:space="preserve">RESULT</x:t>
        </x:is>
      </x:c>
      <x:c r="B36" s="1" t="inlineStr">
        <x:is>
          <x:t xml:space="preserve">Round1</x:t>
        </x:is>
      </x:c>
      <x:c r="C36" s="1" t="inlineStr">
        <x:is>
          <x:t xml:space="preserve">Cli_17</x:t>
        </x:is>
      </x:c>
      <x:c r="D36" s="1" t="inlineStr">
        <x:is>
          <x:t xml:space="preserve">NOT_AVAILABLE</x:t>
        </x:is>
      </x:c>
      <x:c r="E36" s="5"/>
      <x:c r="F36" s="4">
        <x:v>0</x:v>
      </x:c>
      <x:c r="G36" s="4">
        <x:v>5410</x:v>
      </x:c>
      <x:c r="H36" s="6">
        <x:v>72.95</x:v>
      </x:c>
      <x:c r="I36" s="16">
        <x:v>1</x:v>
      </x:c>
      <x:c r="J36"/>
      <x:c r="K36" s="4"/>
      <x:c r="L36" s="4"/>
      <x:c r="M36" s="4"/>
      <x:c r="N36" s="5"/>
    </x:row>
    <x:row r="37" ht="24" customHeight="1">
      <x:c r="A37" s="1" t="inlineStr">
        <x:is>
          <x:t xml:space="preserve">RESULT</x:t>
        </x:is>
      </x:c>
      <x:c r="B37" s="1" t="inlineStr">
        <x:is>
          <x:t xml:space="preserve">Round1</x:t>
        </x:is>
      </x:c>
      <x:c r="C37" s="1" t="inlineStr">
        <x:is>
          <x:t xml:space="preserve">Cli_18</x:t>
        </x:is>
      </x:c>
      <x:c r="D37" s="1" t="inlineStr">
        <x:is>
          <x:t xml:space="preserve">INCONCLUSIVE</x:t>
        </x:is>
      </x:c>
      <x:c r="E37" s="5">
        <x:v>0.0</x:v>
      </x:c>
      <x:c r="F37" s="4">
        <x:v>0</x:v>
      </x:c>
      <x:c r="G37" s="4">
        <x:v>5818</x:v>
      </x:c>
      <x:c r="H37" s="6">
        <x:v>91.32</x:v>
      </x:c>
      <x:c r="I37" s="16">
        <x:v>1</x:v>
      </x:c>
      <x:c r="J37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 xml:space="preserve">RESULT</x:t>
        </x:is>
      </x:c>
      <x:c r="B38" s="1" t="inlineStr">
        <x:is>
          <x:t xml:space="preserve">Round1</x:t>
        </x:is>
      </x:c>
      <x:c r="C38" s="1" t="inlineStr">
        <x:is>
          <x:t xml:space="preserve">Cli_19</x:t>
        </x:is>
      </x:c>
      <x:c r="D38" s="1" t="inlineStr">
        <x:is>
          <x:t xml:space="preserve">INCONCLUSIVE</x:t>
        </x:is>
      </x:c>
      <x:c r="E38" s="5">
        <x:v>0.0</x:v>
      </x:c>
      <x:c r="F38" s="4">
        <x:v>0</x:v>
      </x:c>
      <x:c r="G38" s="4">
        <x:v>4814</x:v>
      </x:c>
      <x:c r="H38" s="6">
        <x:v>49.49</x:v>
      </x:c>
      <x:c r="I38" s="16">
        <x:v>1</x:v>
      </x:c>
      <x:c r="J38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 xml:space="preserve">RESULT</x:t>
        </x:is>
      </x:c>
      <x:c r="B39" s="1" t="inlineStr">
        <x:is>
          <x:t xml:space="preserve">Round1</x:t>
        </x:is>
      </x:c>
      <x:c r="C39" s="1" t="inlineStr">
        <x:is>
          <x:t xml:space="preserve">Cli_2</x:t>
        </x:is>
      </x:c>
      <x:c r="D39" s="1" t="inlineStr">
        <x:is>
          <x:t xml:space="preserve">INCONCLUSIVE</x:t>
        </x:is>
      </x:c>
      <x:c r="E39" s="5">
        <x:v>0.0</x:v>
      </x:c>
      <x:c r="F39" s="4">
        <x:v>0</x:v>
      </x:c>
      <x:c r="G39" s="4">
        <x:v>5738</x:v>
      </x:c>
      <x:c r="H39" s="6">
        <x:v>88.63</x:v>
      </x:c>
      <x:c r="I39" s="16">
        <x:v>1</x:v>
      </x:c>
      <x:c r="J39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 xml:space="preserve">RESULT</x:t>
        </x:is>
      </x:c>
      <x:c r="B40" s="1" t="inlineStr">
        <x:is>
          <x:t xml:space="preserve">Round1</x:t>
        </x:is>
      </x:c>
      <x:c r="C40" s="1" t="inlineStr">
        <x:is>
          <x:t xml:space="preserve">Cli_20</x:t>
        </x:is>
      </x:c>
      <x:c r="D40" s="1" t="inlineStr">
        <x:is>
          <x:t xml:space="preserve">NOT_AVAILABLE</x:t>
        </x:is>
      </x:c>
      <x:c r="E40" s="5"/>
      <x:c r="F40" s="4">
        <x:v>0</x:v>
      </x:c>
      <x:c r="G40" s="4">
        <x:v>4997</x:v>
      </x:c>
      <x:c r="H40" s="6">
        <x:v>57.32</x:v>
      </x:c>
      <x:c r="I40" s="16">
        <x:v>1</x:v>
      </x:c>
      <x:c r="J40"/>
      <x:c r="K40" s="4"/>
      <x:c r="L40" s="4"/>
      <x:c r="M40" s="4"/>
      <x:c r="N40" s="5"/>
    </x:row>
    <x:row r="41" ht="24" customHeight="1">
      <x:c r="A41" s="1" t="inlineStr">
        <x:is>
          <x:t xml:space="preserve">RESULT</x:t>
        </x:is>
      </x:c>
      <x:c r="B41" s="1" t="inlineStr">
        <x:is>
          <x:t xml:space="preserve">Round1</x:t>
        </x:is>
      </x:c>
      <x:c r="C41" s="1" t="inlineStr">
        <x:is>
          <x:t xml:space="preserve">Cli_21</x:t>
        </x:is>
      </x:c>
      <x:c r="D41" s="1" t="inlineStr">
        <x:is>
          <x:t xml:space="preserve">NOT_AVAILABLE</x:t>
        </x:is>
      </x:c>
      <x:c r="E41" s="5"/>
      <x:c r="F41" s="4">
        <x:v>0</x:v>
      </x:c>
      <x:c r="G41" s="4">
        <x:v>17495</x:v>
      </x:c>
      <x:c r="H41" s="6">
        <x:v>304.21</x:v>
      </x:c>
      <x:c r="I41" s="16">
        <x:v>1</x:v>
      </x:c>
      <x:c r="J41"/>
      <x:c r="K41" s="4"/>
      <x:c r="L41" s="4"/>
      <x:c r="M41" s="4"/>
      <x:c r="N41" s="5"/>
    </x:row>
    <x:row r="42" ht="24" customHeight="1">
      <x:c r="A42" s="1" t="inlineStr">
        <x:is>
          <x:t xml:space="preserve">RESULT</x:t>
        </x:is>
      </x:c>
      <x:c r="B42" s="1" t="inlineStr">
        <x:is>
          <x:t xml:space="preserve">Round1</x:t>
        </x:is>
      </x:c>
      <x:c r="C42" s="1" t="inlineStr">
        <x:is>
          <x:t xml:space="preserve">Cli_22</x:t>
        </x:is>
      </x:c>
      <x:c r="D42" s="1" t="inlineStr">
        <x:is>
          <x:t xml:space="preserve">INCONCLUSIVE</x:t>
        </x:is>
      </x:c>
      <x:c r="E42" s="5">
        <x:v>0.0</x:v>
      </x:c>
      <x:c r="F42" s="4">
        <x:v>0</x:v>
      </x:c>
      <x:c r="G42" s="4">
        <x:v>6240</x:v>
      </x:c>
      <x:c r="H42" s="6">
        <x:v>116.51</x:v>
      </x:c>
      <x:c r="I42" s="16">
        <x:v>1</x:v>
      </x:c>
      <x:c r="J42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 xml:space="preserve">RESULT</x:t>
        </x:is>
      </x:c>
      <x:c r="B43" s="1" t="inlineStr">
        <x:is>
          <x:t xml:space="preserve">Round1</x:t>
        </x:is>
      </x:c>
      <x:c r="C43" s="1" t="inlineStr">
        <x:is>
          <x:t xml:space="preserve">Cli_23</x:t>
        </x:is>
      </x:c>
      <x:c r="D43" s="1" t="inlineStr">
        <x:is>
          <x:t xml:space="preserve">NOT_AVAILABLE</x:t>
        </x:is>
      </x:c>
      <x:c r="E43" s="5"/>
      <x:c r="F43" s="4">
        <x:v>0</x:v>
      </x:c>
      <x:c r="G43" s="4">
        <x:v>7004</x:v>
      </x:c>
      <x:c r="H43" s="6">
        <x:v>125.15</x:v>
      </x:c>
      <x:c r="I43" s="16">
        <x:v>1</x:v>
      </x:c>
      <x:c r="J43"/>
      <x:c r="K43" s="4"/>
      <x:c r="L43" s="4"/>
      <x:c r="M43" s="4"/>
      <x:c r="N43" s="5"/>
    </x:row>
    <x:row r="44" ht="24" customHeight="1">
      <x:c r="A44" s="1" t="inlineStr">
        <x:is>
          <x:t xml:space="preserve">RESULT</x:t>
        </x:is>
      </x:c>
      <x:c r="B44" s="1" t="inlineStr">
        <x:is>
          <x:t xml:space="preserve">Round1</x:t>
        </x:is>
      </x:c>
      <x:c r="C44" s="1" t="inlineStr">
        <x:is>
          <x:t xml:space="preserve">Cli_24</x:t>
        </x:is>
      </x:c>
      <x:c r="D44" s="1" t="inlineStr">
        <x:is>
          <x:t xml:space="preserve">INCONCLUSIVE</x:t>
        </x:is>
      </x:c>
      <x:c r="E44" s="5">
        <x:v>0.0</x:v>
      </x:c>
      <x:c r="F44" s="4">
        <x:v>0</x:v>
      </x:c>
      <x:c r="G44" s="4">
        <x:v>7102</x:v>
      </x:c>
      <x:c r="H44" s="6">
        <x:v>118.19</x:v>
      </x:c>
      <x:c r="I44" s="16">
        <x:v>1</x:v>
      </x:c>
      <x:c r="J44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 xml:space="preserve">RESULT</x:t>
        </x:is>
      </x:c>
      <x:c r="B45" s="1" t="inlineStr">
        <x:is>
          <x:t xml:space="preserve">Round1</x:t>
        </x:is>
      </x:c>
      <x:c r="C45" s="1" t="inlineStr">
        <x:is>
          <x:t xml:space="preserve">Cli_25</x:t>
        </x:is>
      </x:c>
      <x:c r="D45" s="1" t="inlineStr">
        <x:is>
          <x:t xml:space="preserve">NOT_AVAILABLE</x:t>
        </x:is>
      </x:c>
      <x:c r="E45" s="5"/>
      <x:c r="F45" s="4">
        <x:v>0</x:v>
      </x:c>
      <x:c r="G45" s="4">
        <x:v>6471</x:v>
      </x:c>
      <x:c r="H45" s="6">
        <x:v>91.83</x:v>
      </x:c>
      <x:c r="I45" s="16">
        <x:v>1</x:v>
      </x:c>
      <x:c r="J45"/>
      <x:c r="K45" s="4"/>
      <x:c r="L45" s="4"/>
      <x:c r="M45" s="4"/>
      <x:c r="N45" s="5"/>
    </x:row>
    <x:row r="46" ht="24" customHeight="1">
      <x:c r="A46" s="1" t="inlineStr">
        <x:is>
          <x:t xml:space="preserve">RESULT</x:t>
        </x:is>
      </x:c>
      <x:c r="B46" s="1" t="inlineStr">
        <x:is>
          <x:t xml:space="preserve">Round1</x:t>
        </x:is>
      </x:c>
      <x:c r="C46" s="1" t="inlineStr">
        <x:is>
          <x:t xml:space="preserve">Cli_26</x:t>
        </x:is>
      </x:c>
      <x:c r="D46" s="1" t="inlineStr">
        <x:is>
          <x:t xml:space="preserve">NOT_AVAILABLE</x:t>
        </x:is>
      </x:c>
      <x:c r="E46" s="5"/>
      <x:c r="F46" s="4">
        <x:v>0</x:v>
      </x:c>
      <x:c r="G46" s="4">
        <x:v>4649</x:v>
      </x:c>
      <x:c r="H46" s="6">
        <x:v>52.16</x:v>
      </x:c>
      <x:c r="I46" s="16">
        <x:v>1</x:v>
      </x:c>
      <x:c r="J46"/>
      <x:c r="K46" s="4"/>
      <x:c r="L46" s="4"/>
      <x:c r="M46" s="4"/>
      <x:c r="N46" s="5"/>
    </x:row>
    <x:row r="47" ht="24" customHeight="1">
      <x:c r="A47" s="1" t="inlineStr">
        <x:is>
          <x:t xml:space="preserve">RESULT</x:t>
        </x:is>
      </x:c>
      <x:c r="B47" s="1" t="inlineStr">
        <x:is>
          <x:t xml:space="preserve">Round1</x:t>
        </x:is>
      </x:c>
      <x:c r="C47" s="1" t="inlineStr">
        <x:is>
          <x:t xml:space="preserve">Cli_27</x:t>
        </x:is>
      </x:c>
      <x:c r="D47" s="1" t="inlineStr">
        <x:is>
          <x:t xml:space="preserve">INCONCLUSIVE</x:t>
        </x:is>
      </x:c>
      <x:c r="E47" s="5">
        <x:v>0.0</x:v>
      </x:c>
      <x:c r="F47" s="4">
        <x:v>0</x:v>
      </x:c>
      <x:c r="G47" s="4">
        <x:v>3054</x:v>
      </x:c>
      <x:c r="H47" s="6">
        <x:v>37.26</x:v>
      </x:c>
      <x:c r="I47" s="16">
        <x:v>1</x:v>
      </x:c>
      <x:c r="J47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 xml:space="preserve">RESULT</x:t>
        </x:is>
      </x:c>
      <x:c r="B48" s="1" t="inlineStr">
        <x:is>
          <x:t xml:space="preserve">Round1</x:t>
        </x:is>
      </x:c>
      <x:c r="C48" s="1" t="inlineStr">
        <x:is>
          <x:t xml:space="preserve">Cli_28</x:t>
        </x:is>
      </x:c>
      <x:c r="D48" s="1" t="inlineStr">
        <x:is>
          <x:t xml:space="preserve">NOT_AVAILABLE</x:t>
        </x:is>
      </x:c>
      <x:c r="E48" s="5"/>
      <x:c r="F48" s="4">
        <x:v>0</x:v>
      </x:c>
      <x:c r="G48" s="4">
        <x:v>6320</x:v>
      </x:c>
      <x:c r="H48" s="6">
        <x:v>101.89</x:v>
      </x:c>
      <x:c r="I48" s="16">
        <x:v>1</x:v>
      </x:c>
      <x:c r="J48"/>
      <x:c r="K48" s="4"/>
      <x:c r="L48" s="4"/>
      <x:c r="M48" s="4"/>
      <x:c r="N48" s="5"/>
    </x:row>
    <x:row r="49" ht="24" customHeight="1">
      <x:c r="A49" s="1" t="inlineStr">
        <x:is>
          <x:t xml:space="preserve">RESULT</x:t>
        </x:is>
      </x:c>
      <x:c r="B49" s="1" t="inlineStr">
        <x:is>
          <x:t xml:space="preserve">Round1</x:t>
        </x:is>
      </x:c>
      <x:c r="C49" s="1" t="inlineStr">
        <x:is>
          <x:t xml:space="preserve">Cli_29</x:t>
        </x:is>
      </x:c>
      <x:c r="D49" s="1" t="inlineStr">
        <x:is>
          <x:t xml:space="preserve">INCONCLUSIVE</x:t>
        </x:is>
      </x:c>
      <x:c r="E49" s="5">
        <x:v>0.0</x:v>
      </x:c>
      <x:c r="F49" s="4">
        <x:v>0</x:v>
      </x:c>
      <x:c r="G49" s="4">
        <x:v>2614</x:v>
      </x:c>
      <x:c r="H49" s="6">
        <x:v>36.09</x:v>
      </x:c>
      <x:c r="I49" s="16">
        <x:v>1</x:v>
      </x:c>
      <x:c r="J49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 xml:space="preserve">RESULT</x:t>
        </x:is>
      </x:c>
      <x:c r="B50" s="1" t="inlineStr">
        <x:is>
          <x:t xml:space="preserve">Round1</x:t>
        </x:is>
      </x:c>
      <x:c r="C50" s="1" t="inlineStr">
        <x:is>
          <x:t xml:space="preserve">Cli_3</x:t>
        </x:is>
      </x:c>
      <x:c r="D50" s="1" t="inlineStr">
        <x:is>
          <x:t xml:space="preserve">INCONCLUSIVE</x:t>
        </x:is>
      </x:c>
      <x:c r="E50" s="5">
        <x:v>0.0</x:v>
      </x:c>
      <x:c r="F50" s="4">
        <x:v>0</x:v>
      </x:c>
      <x:c r="G50" s="4">
        <x:v>4474</x:v>
      </x:c>
      <x:c r="H50" s="6">
        <x:v>68.73</x:v>
      </x:c>
      <x:c r="I50" s="16">
        <x:v>1</x:v>
      </x:c>
      <x:c r="J5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 xml:space="preserve">RESULT</x:t>
        </x:is>
      </x:c>
      <x:c r="B51" s="1" t="inlineStr">
        <x:is>
          <x:t xml:space="preserve">Round1</x:t>
        </x:is>
      </x:c>
      <x:c r="C51" s="1" t="inlineStr">
        <x:is>
          <x:t xml:space="preserve">Cli_30</x:t>
        </x:is>
      </x:c>
      <x:c r="D51" s="1" t="inlineStr">
        <x:is>
          <x:t xml:space="preserve">NOT_AVAILABLE</x:t>
        </x:is>
      </x:c>
      <x:c r="E51" s="5"/>
      <x:c r="F51" s="4">
        <x:v>0</x:v>
      </x:c>
      <x:c r="G51" s="4">
        <x:v>13970</x:v>
      </x:c>
      <x:c r="H51" s="6">
        <x:v>171.02</x:v>
      </x:c>
      <x:c r="I51" s="16">
        <x:v>1</x:v>
      </x:c>
      <x:c r="J51"/>
      <x:c r="K51" s="4"/>
      <x:c r="L51" s="4"/>
      <x:c r="M51" s="4"/>
      <x:c r="N51" s="5"/>
    </x:row>
    <x:row r="52" ht="24" customHeight="1">
      <x:c r="A52" s="1" t="inlineStr">
        <x:is>
          <x:t xml:space="preserve">RESULT</x:t>
        </x:is>
      </x:c>
      <x:c r="B52" s="1" t="inlineStr">
        <x:is>
          <x:t xml:space="preserve">Round1</x:t>
        </x:is>
      </x:c>
      <x:c r="C52" s="1" t="inlineStr">
        <x:is>
          <x:t xml:space="preserve">Cli_31</x:t>
        </x:is>
      </x:c>
      <x:c r="D52" s="1" t="inlineStr">
        <x:is>
          <x:t xml:space="preserve">NOT_AVAILABLE</x:t>
        </x:is>
      </x:c>
      <x:c r="E52" s="5"/>
      <x:c r="F52" s="4">
        <x:v>0</x:v>
      </x:c>
      <x:c r="G52" s="4">
        <x:v>21283</x:v>
      </x:c>
      <x:c r="H52" s="6">
        <x:v>331.52</x:v>
      </x:c>
      <x:c r="I52" s="16">
        <x:v>1</x:v>
      </x:c>
      <x:c r="J52"/>
      <x:c r="K52" s="4"/>
      <x:c r="L52" s="4"/>
      <x:c r="M52" s="4"/>
      <x:c r="N52" s="5"/>
    </x:row>
    <x:row r="53" ht="24" customHeight="1">
      <x:c r="A53" s="1" t="inlineStr">
        <x:is>
          <x:t xml:space="preserve">RESULT</x:t>
        </x:is>
      </x:c>
      <x:c r="B53" s="1" t="inlineStr">
        <x:is>
          <x:t xml:space="preserve">Round1</x:t>
        </x:is>
      </x:c>
      <x:c r="C53" s="1" t="inlineStr">
        <x:is>
          <x:t xml:space="preserve">Cli_32</x:t>
        </x:is>
      </x:c>
      <x:c r="D53" s="1" t="inlineStr">
        <x:is>
          <x:t xml:space="preserve">NOT_AVAILABLE</x:t>
        </x:is>
      </x:c>
      <x:c r="E53" s="5"/>
      <x:c r="F53" s="4">
        <x:v>0</x:v>
      </x:c>
      <x:c r="G53" s="4">
        <x:v>6440</x:v>
      </x:c>
      <x:c r="H53" s="6">
        <x:v>82.69</x:v>
      </x:c>
      <x:c r="I53" s="16">
        <x:v>1</x:v>
      </x:c>
      <x:c r="J53"/>
      <x:c r="K53" s="4"/>
      <x:c r="L53" s="4"/>
      <x:c r="M53" s="4"/>
      <x:c r="N53" s="5"/>
    </x:row>
    <x:row r="54" ht="24" customHeight="1">
      <x:c r="A54" s="1" t="inlineStr">
        <x:is>
          <x:t xml:space="preserve">RESULT</x:t>
        </x:is>
      </x:c>
      <x:c r="B54" s="1" t="inlineStr">
        <x:is>
          <x:t xml:space="preserve">Round1</x:t>
        </x:is>
      </x:c>
      <x:c r="C54" s="1" t="inlineStr">
        <x:is>
          <x:t xml:space="preserve">Cli_33</x:t>
        </x:is>
      </x:c>
      <x:c r="D54" s="1" t="inlineStr">
        <x:is>
          <x:t xml:space="preserve">INCONCLUSIVE</x:t>
        </x:is>
      </x:c>
      <x:c r="E54" s="5">
        <x:v>0.0</x:v>
      </x:c>
      <x:c r="F54" s="4">
        <x:v>0</x:v>
      </x:c>
      <x:c r="G54" s="4">
        <x:v>6034</x:v>
      </x:c>
      <x:c r="H54" s="6">
        <x:v>67.43</x:v>
      </x:c>
      <x:c r="I54" s="16">
        <x:v>1</x:v>
      </x:c>
      <x:c r="J54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 xml:space="preserve">RESULT</x:t>
        </x:is>
      </x:c>
      <x:c r="B55" s="1" t="inlineStr">
        <x:is>
          <x:t xml:space="preserve">Round1</x:t>
        </x:is>
      </x:c>
      <x:c r="C55" s="1" t="inlineStr">
        <x:is>
          <x:t xml:space="preserve">Cli_34</x:t>
        </x:is>
      </x:c>
      <x:c r="D55" s="1" t="inlineStr">
        <x:is>
          <x:t xml:space="preserve">NOT_AVAILABLE</x:t>
        </x:is>
      </x:c>
      <x:c r="E55" s="5"/>
      <x:c r="F55" s="4">
        <x:v>0</x:v>
      </x:c>
      <x:c r="G55" s="4">
        <x:v>12486</x:v>
      </x:c>
      <x:c r="H55" s="6">
        <x:v>147.91</x:v>
      </x:c>
      <x:c r="I55" s="16">
        <x:v>1</x:v>
      </x:c>
      <x:c r="J55"/>
      <x:c r="K55" s="4"/>
      <x:c r="L55" s="4"/>
      <x:c r="M55" s="4"/>
      <x:c r="N55" s="5"/>
    </x:row>
    <x:row r="56" ht="24" customHeight="1">
      <x:c r="A56" s="1" t="inlineStr">
        <x:is>
          <x:t xml:space="preserve">RESULT</x:t>
        </x:is>
      </x:c>
      <x:c r="B56" s="1" t="inlineStr">
        <x:is>
          <x:t xml:space="preserve">Round1</x:t>
        </x:is>
      </x:c>
      <x:c r="C56" s="1" t="inlineStr">
        <x:is>
          <x:t xml:space="preserve">Cli_35</x:t>
        </x:is>
      </x:c>
      <x:c r="D56" s="1" t="inlineStr">
        <x:is>
          <x:t xml:space="preserve">INCONCLUSIVE</x:t>
        </x:is>
      </x:c>
      <x:c r="E56" s="5">
        <x:v>0.9473999999999999</x:v>
      </x:c>
      <x:c r="F56" s="4">
        <x:v>0</x:v>
      </x:c>
      <x:c r="G56" s="4">
        <x:v>5462</x:v>
      </x:c>
      <x:c r="H56" s="6">
        <x:v>84.79</x:v>
      </x:c>
      <x:c r="I56" s="16">
        <x:v>1</x:v>
      </x:c>
      <x:c r="J56">
        <x:v>57</x:v>
      </x:c>
      <x:c r="K56" s="4">
        <x:v>54</x:v>
      </x:c>
      <x:c r="L56" s="4">
        <x:v>20</x:v>
      </x:c>
      <x:c r="M56" s="4">
        <x:v>19</x:v>
      </x:c>
      <x:c r="N56" s="5">
        <x:v>0.95</x:v>
      </x:c>
    </x:row>
    <x:row r="57" ht="24" customHeight="1">
      <x:c r="A57" s="1" t="inlineStr">
        <x:is>
          <x:t xml:space="preserve">RESULT</x:t>
        </x:is>
      </x:c>
      <x:c r="B57" s="1" t="inlineStr">
        <x:is>
          <x:t xml:space="preserve">Round1</x:t>
        </x:is>
      </x:c>
      <x:c r="C57" s="1" t="inlineStr">
        <x:is>
          <x:t xml:space="preserve">Cli_36</x:t>
        </x:is>
      </x:c>
      <x:c r="D57" s="1" t="inlineStr">
        <x:is>
          <x:t xml:space="preserve">NOT_AVAILABLE</x:t>
        </x:is>
      </x:c>
      <x:c r="E57" s="5"/>
      <x:c r="F57" s="4">
        <x:v>0</x:v>
      </x:c>
      <x:c r="G57" s="4">
        <x:v>7992</x:v>
      </x:c>
      <x:c r="H57" s="6">
        <x:v>100.45</x:v>
      </x:c>
      <x:c r="I57" s="16">
        <x:v>1</x:v>
      </x:c>
      <x:c r="J57"/>
      <x:c r="K57" s="4"/>
      <x:c r="L57" s="4"/>
      <x:c r="M57" s="4"/>
      <x:c r="N57" s="5"/>
    </x:row>
    <x:row r="58" ht="24" customHeight="1">
      <x:c r="A58" s="1" t="inlineStr">
        <x:is>
          <x:t xml:space="preserve">RESULT</x:t>
        </x:is>
      </x:c>
      <x:c r="B58" s="1" t="inlineStr">
        <x:is>
          <x:t xml:space="preserve">Round1</x:t>
        </x:is>
      </x:c>
      <x:c r="C58" s="1" t="inlineStr">
        <x:is>
          <x:t xml:space="preserve">Cli_37</x:t>
        </x:is>
      </x:c>
      <x:c r="D58" s="1" t="inlineStr">
        <x:is>
          <x:t xml:space="preserve">NOT_AVAILABLE</x:t>
        </x:is>
      </x:c>
      <x:c r="E58" s="5"/>
      <x:c r="F58" s="4">
        <x:v>0</x:v>
      </x:c>
      <x:c r="G58" s="4">
        <x:v>7387</x:v>
      </x:c>
      <x:c r="H58" s="6">
        <x:v>70.5</x:v>
      </x:c>
      <x:c r="I58" s="16">
        <x:v>1</x:v>
      </x:c>
      <x:c r="J58"/>
      <x:c r="K58" s="4"/>
      <x:c r="L58" s="4"/>
      <x:c r="M58" s="4"/>
      <x:c r="N58" s="5"/>
    </x:row>
    <x:row r="59" ht="24" customHeight="1">
      <x:c r="A59" s="1" t="inlineStr">
        <x:is>
          <x:t xml:space="preserve">RESULT</x:t>
        </x:is>
      </x:c>
      <x:c r="B59" s="1" t="inlineStr">
        <x:is>
          <x:t xml:space="preserve">Round1</x:t>
        </x:is>
      </x:c>
      <x:c r="C59" s="1" t="inlineStr">
        <x:is>
          <x:t xml:space="preserve">Cli_38</x:t>
        </x:is>
      </x:c>
      <x:c r="D59" s="1" t="inlineStr">
        <x:is>
          <x:t xml:space="preserve">NOT_AVAILABLE</x:t>
        </x:is>
      </x:c>
      <x:c r="E59" s="5"/>
      <x:c r="F59" s="4">
        <x:v>0</x:v>
      </x:c>
      <x:c r="G59" s="4">
        <x:v>7822</x:v>
      </x:c>
      <x:c r="H59" s="6">
        <x:v>86.13</x:v>
      </x:c>
      <x:c r="I59" s="16">
        <x:v>1</x:v>
      </x:c>
      <x:c r="J59"/>
      <x:c r="K59" s="4"/>
      <x:c r="L59" s="4"/>
      <x:c r="M59" s="4"/>
      <x:c r="N59" s="5"/>
    </x:row>
    <x:row r="60" ht="24" customHeight="1">
      <x:c r="A60" s="1" t="inlineStr">
        <x:is>
          <x:t xml:space="preserve">RESULT</x:t>
        </x:is>
      </x:c>
      <x:c r="B60" s="1" t="inlineStr">
        <x:is>
          <x:t xml:space="preserve">Round1</x:t>
        </x:is>
      </x:c>
      <x:c r="C60" s="1" t="inlineStr">
        <x:is>
          <x:t xml:space="preserve">Cli_39</x:t>
        </x:is>
      </x:c>
      <x:c r="D60" s="1" t="inlineStr">
        <x:is>
          <x:t xml:space="preserve">INCONCLUSIVE</x:t>
        </x:is>
      </x:c>
      <x:c r="E60" s="5">
        <x:v>0.8571</x:v>
      </x:c>
      <x:c r="F60" s="4">
        <x:v>0</x:v>
      </x:c>
      <x:c r="G60" s="4">
        <x:v>4612</x:v>
      </x:c>
      <x:c r="H60" s="6">
        <x:v>66.02</x:v>
      </x:c>
      <x:c r="I60" s="16">
        <x:v>1</x:v>
      </x:c>
      <x:c r="J60">
        <x:v>42</x:v>
      </x:c>
      <x:c r="K60" s="4">
        <x:v>36</x:v>
      </x:c>
      <x:c r="L60" s="4">
        <x:v>20</x:v>
      </x:c>
      <x:c r="M60" s="4">
        <x:v>16</x:v>
      </x:c>
      <x:c r="N60" s="5">
        <x:v>0.8</x:v>
      </x:c>
    </x:row>
    <x:row r="61" ht="24" customHeight="1">
      <x:c r="A61" s="1" t="inlineStr">
        <x:is>
          <x:t xml:space="preserve">RESULT</x:t>
        </x:is>
      </x:c>
      <x:c r="B61" s="1" t="inlineStr">
        <x:is>
          <x:t xml:space="preserve">Round1</x:t>
        </x:is>
      </x:c>
      <x:c r="C61" s="1" t="inlineStr">
        <x:is>
          <x:t xml:space="preserve">Cli_4</x:t>
        </x:is>
      </x:c>
      <x:c r="D61" s="1" t="inlineStr">
        <x:is>
          <x:t xml:space="preserve">INCONCLUSIVE</x:t>
        </x:is>
      </x:c>
      <x:c r="E61" s="5">
        <x:v>0.0</x:v>
      </x:c>
      <x:c r="F61" s="4">
        <x:v>0</x:v>
      </x:c>
      <x:c r="G61" s="4">
        <x:v>5449</x:v>
      </x:c>
      <x:c r="H61" s="6">
        <x:v>66.91</x:v>
      </x:c>
      <x:c r="I61" s="16">
        <x:v>1</x:v>
      </x:c>
      <x:c r="J61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 xml:space="preserve">RESULT</x:t>
        </x:is>
      </x:c>
      <x:c r="B62" s="1" t="inlineStr">
        <x:is>
          <x:t xml:space="preserve">Round1</x:t>
        </x:is>
      </x:c>
      <x:c r="C62" s="1" t="inlineStr">
        <x:is>
          <x:t xml:space="preserve">Cli_40</x:t>
        </x:is>
      </x:c>
      <x:c r="D62" s="1" t="inlineStr">
        <x:is>
          <x:t xml:space="preserve">NOT_AVAILABLE</x:t>
        </x:is>
      </x:c>
      <x:c r="E62" s="5"/>
      <x:c r="F62" s="4">
        <x:v>0</x:v>
      </x:c>
      <x:c r="G62" s="4">
        <x:v>6040</x:v>
      </x:c>
      <x:c r="H62" s="6">
        <x:v>118.53</x:v>
      </x:c>
      <x:c r="I62" s="16">
        <x:v>1</x:v>
      </x:c>
      <x:c r="J62"/>
      <x:c r="K62" s="4"/>
      <x:c r="L62" s="4"/>
      <x:c r="M62" s="4"/>
      <x:c r="N62" s="5"/>
    </x:row>
    <x:row r="63" ht="24" customHeight="1">
      <x:c r="A63" s="1" t="inlineStr">
        <x:is>
          <x:t xml:space="preserve">RESULT</x:t>
        </x:is>
      </x:c>
      <x:c r="B63" s="1" t="inlineStr">
        <x:is>
          <x:t xml:space="preserve">Round1</x:t>
        </x:is>
      </x:c>
      <x:c r="C63" s="1" t="inlineStr">
        <x:is>
          <x:t xml:space="preserve">Cli_5</x:t>
        </x:is>
      </x:c>
      <x:c r="D63" s="1" t="inlineStr">
        <x:is>
          <x:t xml:space="preserve">INCONCLUSIVE</x:t>
        </x:is>
      </x:c>
      <x:c r="E63" s="5">
        <x:v>0.0</x:v>
      </x:c>
      <x:c r="F63" s="4">
        <x:v>0</x:v>
      </x:c>
      <x:c r="G63" s="4">
        <x:v>2261</x:v>
      </x:c>
      <x:c r="H63" s="6">
        <x:v>31.26</x:v>
      </x:c>
      <x:c r="I63" s="16">
        <x:v>1</x:v>
      </x:c>
      <x:c r="J63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 xml:space="preserve">RESULT</x:t>
        </x:is>
      </x:c>
      <x:c r="B64" s="1" t="inlineStr">
        <x:is>
          <x:t xml:space="preserve">Round1</x:t>
        </x:is>
      </x:c>
      <x:c r="C64" s="1" t="inlineStr">
        <x:is>
          <x:t xml:space="preserve">Cli_7</x:t>
        </x:is>
      </x:c>
      <x:c r="D64" s="1" t="inlineStr">
        <x:is>
          <x:t xml:space="preserve">NOT_AVAILABLE</x:t>
        </x:is>
      </x:c>
      <x:c r="E64" s="5"/>
      <x:c r="F64" s="4">
        <x:v>0</x:v>
      </x:c>
      <x:c r="G64" s="4">
        <x:v>4680</x:v>
      </x:c>
      <x:c r="H64" s="6">
        <x:v>97.05</x:v>
      </x:c>
      <x:c r="I64" s="16">
        <x:v>1</x:v>
      </x:c>
      <x:c r="J64"/>
      <x:c r="K64" s="4"/>
      <x:c r="L64" s="4"/>
      <x:c r="M64" s="4"/>
      <x:c r="N64" s="5"/>
    </x:row>
    <x:row r="65" ht="24" customHeight="1">
      <x:c r="A65" s="1" t="inlineStr">
        <x:is>
          <x:t xml:space="preserve">RESULT</x:t>
        </x:is>
      </x:c>
      <x:c r="B65" s="1" t="inlineStr">
        <x:is>
          <x:t xml:space="preserve">Round1</x:t>
        </x:is>
      </x:c>
      <x:c r="C65" s="1" t="inlineStr">
        <x:is>
          <x:t xml:space="preserve">Cli_8</x:t>
        </x:is>
      </x:c>
      <x:c r="D65" s="1" t="inlineStr">
        <x:is>
          <x:t xml:space="preserve">INCONCLUSIVE</x:t>
        </x:is>
      </x:c>
      <x:c r="E65" s="5">
        <x:v>0.0</x:v>
      </x:c>
      <x:c r="F65" s="4">
        <x:v>0</x:v>
      </x:c>
      <x:c r="G65" s="4">
        <x:v>6295</x:v>
      </x:c>
      <x:c r="H65" s="6">
        <x:v>90.79</x:v>
      </x:c>
      <x:c r="I65" s="16">
        <x:v>1</x:v>
      </x:c>
      <x:c r="J65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 xml:space="preserve">RESULT</x:t>
        </x:is>
      </x:c>
      <x:c r="B66" s="1" t="inlineStr">
        <x:is>
          <x:t xml:space="preserve">Round1</x:t>
        </x:is>
      </x:c>
      <x:c r="C66" s="1" t="inlineStr">
        <x:is>
          <x:t xml:space="preserve">Cli_9</x:t>
        </x:is>
      </x:c>
      <x:c r="D66" s="1" t="inlineStr">
        <x:is>
          <x:t xml:space="preserve">NOT_AVAILABLE</x:t>
        </x:is>
      </x:c>
      <x:c r="E66" s="5"/>
      <x:c r="F66" s="4">
        <x:v>0</x:v>
      </x:c>
      <x:c r="G66" s="4">
        <x:v>5851</x:v>
      </x:c>
      <x:c r="H66" s="6">
        <x:v>82.65</x:v>
      </x:c>
      <x:c r="I66" s="16">
        <x:v>1</x:v>
      </x:c>
      <x:c r="J66"/>
      <x:c r="K66" s="4"/>
      <x:c r="L66" s="4"/>
      <x:c r="M66" s="4"/>
      <x:c r="N66" s="5"/>
    </x:row>
    <x:row r="67" ht="24" customHeight="1">
      <x:c r="A67" s="1" t="inlineStr">
        <x:is>
          <x:t xml:space="preserve">RESULT</x:t>
        </x:is>
      </x:c>
      <x:c r="B67" s="1" t="inlineStr">
        <x:is>
          <x:t xml:space="preserve">Round1</x:t>
        </x:is>
      </x:c>
      <x:c r="C67" s="1" t="inlineStr">
        <x:is>
          <x:t xml:space="preserve">Closure_1</x:t>
        </x:is>
      </x:c>
      <x:c r="D67" s="1" t="inlineStr">
        <x:is>
          <x:t xml:space="preserve">NOT_AVAILABLE</x:t>
        </x:is>
      </x:c>
      <x:c r="E67" s="5"/>
      <x:c r="F67" s="4">
        <x:v>0</x:v>
      </x:c>
      <x:c r="G67" s="4">
        <x:v>8218</x:v>
      </x:c>
      <x:c r="H67" s="6">
        <x:v>74.5</x:v>
      </x:c>
      <x:c r="I67" s="16">
        <x:v>1</x:v>
      </x:c>
      <x:c r="J67"/>
      <x:c r="K67" s="4"/>
      <x:c r="L67" s="4"/>
      <x:c r="M67" s="4"/>
      <x:c r="N67" s="5"/>
    </x:row>
    <x:row r="68" ht="24" customHeight="1">
      <x:c r="A68" s="1" t="inlineStr">
        <x:is>
          <x:t xml:space="preserve">RESULT</x:t>
        </x:is>
      </x:c>
      <x:c r="B68" s="1" t="inlineStr">
        <x:is>
          <x:t xml:space="preserve">Round1</x:t>
        </x:is>
      </x:c>
      <x:c r="C68" s="1" t="inlineStr">
        <x:is>
          <x:t xml:space="preserve">Closure_10</x:t>
        </x:is>
      </x:c>
      <x:c r="D68" s="1" t="inlineStr">
        <x:is>
          <x:t xml:space="preserve">NOT_AVAILABLE</x:t>
        </x:is>
      </x:c>
      <x:c r="E68" s="5"/>
      <x:c r="F68" s="4">
        <x:v>0</x:v>
      </x:c>
      <x:c r="G68" s="4">
        <x:v>24564</x:v>
      </x:c>
      <x:c r="H68" s="6">
        <x:v>300.89</x:v>
      </x:c>
      <x:c r="I68" s="16">
        <x:v>1</x:v>
      </x:c>
      <x:c r="J68"/>
      <x:c r="K68" s="4"/>
      <x:c r="L68" s="4"/>
      <x:c r="M68" s="4"/>
      <x:c r="N68" s="5"/>
    </x:row>
    <x:row r="69" ht="24" customHeight="1">
      <x:c r="A69" s="1" t="inlineStr">
        <x:is>
          <x:t xml:space="preserve">RESULT</x:t>
        </x:is>
      </x:c>
      <x:c r="B69" s="1" t="inlineStr">
        <x:is>
          <x:t xml:space="preserve">Round1</x:t>
        </x:is>
      </x:c>
      <x:c r="C69" s="1" t="inlineStr">
        <x:is>
          <x:t xml:space="preserve">Closure_100</x:t>
        </x:is>
      </x:c>
      <x:c r="D69" s="1" t="inlineStr">
        <x:is>
          <x:t xml:space="preserve">NOT_AVAILABLE</x:t>
        </x:is>
      </x:c>
      <x:c r="E69" s="5"/>
      <x:c r="F69" s="4">
        <x:v>0</x:v>
      </x:c>
      <x:c r="G69" s="4">
        <x:v>4312</x:v>
      </x:c>
      <x:c r="H69" s="6">
        <x:v>65.73</x:v>
      </x:c>
      <x:c r="I69" s="16">
        <x:v>1</x:v>
      </x:c>
      <x:c r="J69"/>
      <x:c r="K69" s="4"/>
      <x:c r="L69" s="4"/>
      <x:c r="M69" s="4"/>
      <x:c r="N69" s="5"/>
    </x:row>
    <x:row r="70" ht="24" customHeight="1">
      <x:c r="A70" s="1" t="inlineStr">
        <x:is>
          <x:t xml:space="preserve">RESULT</x:t>
        </x:is>
      </x:c>
      <x:c r="B70" s="1" t="inlineStr">
        <x:is>
          <x:t xml:space="preserve">Round1</x:t>
        </x:is>
      </x:c>
      <x:c r="C70" s="1" t="inlineStr">
        <x:is>
          <x:t xml:space="preserve">Closure_101</x:t>
        </x:is>
      </x:c>
      <x:c r="D70" s="1" t="inlineStr">
        <x:is>
          <x:t xml:space="preserve">NOT_AVAILABLE</x:t>
        </x:is>
      </x:c>
      <x:c r="E70" s="5"/>
      <x:c r="F70" s="4">
        <x:v>0</x:v>
      </x:c>
      <x:c r="G70" s="4">
        <x:v>7704</x:v>
      </x:c>
      <x:c r="H70" s="6">
        <x:v>80.18</x:v>
      </x:c>
      <x:c r="I70" s="16">
        <x:v>1</x:v>
      </x:c>
      <x:c r="J70"/>
      <x:c r="K70" s="4"/>
      <x:c r="L70" s="4"/>
      <x:c r="M70" s="4"/>
      <x:c r="N70" s="5"/>
    </x:row>
    <x:row r="71" ht="24" customHeight="1">
      <x:c r="A71" s="1" t="inlineStr">
        <x:is>
          <x:t xml:space="preserve">RESULT</x:t>
        </x:is>
      </x:c>
      <x:c r="B71" s="1" t="inlineStr">
        <x:is>
          <x:t xml:space="preserve">Round1</x:t>
        </x:is>
      </x:c>
      <x:c r="C71" s="1" t="inlineStr">
        <x:is>
          <x:t xml:space="preserve">Closure_102</x:t>
        </x:is>
      </x:c>
      <x:c r="D71" s="1" t="inlineStr">
        <x:is>
          <x:t xml:space="preserve">NOT_AVAILABLE</x:t>
        </x:is>
      </x:c>
      <x:c r="E71" s="5"/>
      <x:c r="F71" s="4">
        <x:v>0</x:v>
      </x:c>
      <x:c r="G71" s="4">
        <x:v>7562</x:v>
      </x:c>
      <x:c r="H71" s="6">
        <x:v>68.47</x:v>
      </x:c>
      <x:c r="I71" s="16">
        <x:v>1</x:v>
      </x:c>
      <x:c r="J71"/>
      <x:c r="K71" s="4"/>
      <x:c r="L71" s="4"/>
      <x:c r="M71" s="4"/>
      <x:c r="N71" s="5"/>
    </x:row>
    <x:row r="72" ht="24" customHeight="1">
      <x:c r="A72" s="1" t="inlineStr">
        <x:is>
          <x:t xml:space="preserve">RESULT</x:t>
        </x:is>
      </x:c>
      <x:c r="B72" s="1" t="inlineStr">
        <x:is>
          <x:t xml:space="preserve">Round1</x:t>
        </x:is>
      </x:c>
      <x:c r="C72" s="1" t="inlineStr">
        <x:is>
          <x:t xml:space="preserve">Closure_103</x:t>
        </x:is>
      </x:c>
      <x:c r="D72" s="1" t="inlineStr">
        <x:is>
          <x:t xml:space="preserve">NOT_AVAILABLE</x:t>
        </x:is>
      </x:c>
      <x:c r="E72" s="5"/>
      <x:c r="F72" s="4">
        <x:v>0</x:v>
      </x:c>
      <x:c r="G72" s="4">
        <x:v>17713</x:v>
      </x:c>
      <x:c r="H72" s="6">
        <x:v>149.94</x:v>
      </x:c>
      <x:c r="I72" s="16">
        <x:v>1</x:v>
      </x:c>
      <x:c r="J72"/>
      <x:c r="K72" s="4"/>
      <x:c r="L72" s="4"/>
      <x:c r="M72" s="4"/>
      <x:c r="N72" s="5"/>
    </x:row>
    <x:row r="73" ht="24" customHeight="1">
      <x:c r="A73" s="1" t="inlineStr">
        <x:is>
          <x:t xml:space="preserve">RESULT</x:t>
        </x:is>
      </x:c>
      <x:c r="B73" s="1" t="inlineStr">
        <x:is>
          <x:t xml:space="preserve">Round1</x:t>
        </x:is>
      </x:c>
      <x:c r="C73" s="1" t="inlineStr">
        <x:is>
          <x:t xml:space="preserve">Closure_104</x:t>
        </x:is>
      </x:c>
      <x:c r="D73" s="1" t="inlineStr">
        <x:is>
          <x:t xml:space="preserve">NOT_AVAILABLE</x:t>
        </x:is>
      </x:c>
      <x:c r="E73" s="5"/>
      <x:c r="F73" s="4">
        <x:v>0</x:v>
      </x:c>
      <x:c r="G73" s="4">
        <x:v>8590</x:v>
      </x:c>
      <x:c r="H73" s="6">
        <x:v>113.18</x:v>
      </x:c>
      <x:c r="I73" s="16">
        <x:v>1</x:v>
      </x:c>
      <x:c r="J73"/>
      <x:c r="K73" s="4"/>
      <x:c r="L73" s="4"/>
      <x:c r="M73" s="4"/>
      <x:c r="N73" s="5"/>
    </x:row>
    <x:row r="74" ht="24" customHeight="1">
      <x:c r="A74" s="1" t="inlineStr">
        <x:is>
          <x:t xml:space="preserve">RESULT</x:t>
        </x:is>
      </x:c>
      <x:c r="B74" s="1" t="inlineStr">
        <x:is>
          <x:t xml:space="preserve">Round1</x:t>
        </x:is>
      </x:c>
      <x:c r="C74" s="1" t="inlineStr">
        <x:is>
          <x:t xml:space="preserve">Closure_105</x:t>
        </x:is>
      </x:c>
      <x:c r="D74" s="1" t="inlineStr">
        <x:is>
          <x:t xml:space="preserve">NOT_AVAILABLE</x:t>
        </x:is>
      </x:c>
      <x:c r="E74" s="5"/>
      <x:c r="F74" s="4">
        <x:v>0</x:v>
      </x:c>
      <x:c r="G74" s="4">
        <x:v>15031</x:v>
      </x:c>
      <x:c r="H74" s="6">
        <x:v>61.2</x:v>
      </x:c>
      <x:c r="I74" s="16">
        <x:v>1</x:v>
      </x:c>
      <x:c r="J74"/>
      <x:c r="K74" s="4"/>
      <x:c r="L74" s="4"/>
      <x:c r="M74" s="4"/>
      <x:c r="N74" s="5"/>
    </x:row>
    <x:row r="75" ht="24" customHeight="1">
      <x:c r="A75" s="1" t="inlineStr">
        <x:is>
          <x:t xml:space="preserve">RESULT</x:t>
        </x:is>
      </x:c>
      <x:c r="B75" s="1" t="inlineStr">
        <x:is>
          <x:t xml:space="preserve">Round1</x:t>
        </x:is>
      </x:c>
      <x:c r="C75" s="1" t="inlineStr">
        <x:is>
          <x:t xml:space="preserve">Closure_106</x:t>
        </x:is>
      </x:c>
      <x:c r="D75" s="1" t="inlineStr">
        <x:is>
          <x:t xml:space="preserve">NOT_AVAILABLE</x:t>
        </x:is>
      </x:c>
      <x:c r="E75" s="5"/>
      <x:c r="F75" s="4">
        <x:v>0</x:v>
      </x:c>
      <x:c r="G75" s="4">
        <x:v>17948</x:v>
      </x:c>
      <x:c r="H75" s="6">
        <x:v>152.21</x:v>
      </x:c>
      <x:c r="I75" s="16">
        <x:v>1</x:v>
      </x:c>
      <x:c r="J75"/>
      <x:c r="K75" s="4"/>
      <x:c r="L75" s="4"/>
      <x:c r="M75" s="4"/>
      <x:c r="N75" s="5"/>
    </x:row>
    <x:row r="76" ht="24" customHeight="1">
      <x:c r="A76" s="1" t="inlineStr">
        <x:is>
          <x:t xml:space="preserve">RESULT</x:t>
        </x:is>
      </x:c>
      <x:c r="B76" s="1" t="inlineStr">
        <x:is>
          <x:t xml:space="preserve">Round1</x:t>
        </x:is>
      </x:c>
      <x:c r="C76" s="1" t="inlineStr">
        <x:is>
          <x:t xml:space="preserve">Closure_107</x:t>
        </x:is>
      </x:c>
      <x:c r="D76" s="1" t="inlineStr">
        <x:is>
          <x:t xml:space="preserve">NOT_AVAILABLE</x:t>
        </x:is>
      </x:c>
      <x:c r="E76" s="5"/>
      <x:c r="F76" s="4">
        <x:v>0</x:v>
      </x:c>
      <x:c r="G76" s="4">
        <x:v>10042</x:v>
      </x:c>
      <x:c r="H76" s="6">
        <x:v>43.7</x:v>
      </x:c>
      <x:c r="I76" s="16">
        <x:v>1</x:v>
      </x:c>
      <x:c r="J76"/>
      <x:c r="K76" s="4"/>
      <x:c r="L76" s="4"/>
      <x:c r="M76" s="4"/>
      <x:c r="N76" s="5"/>
    </x:row>
    <x:row r="77" ht="24" customHeight="1">
      <x:c r="A77" s="1" t="inlineStr">
        <x:is>
          <x:t xml:space="preserve">RESULT</x:t>
        </x:is>
      </x:c>
      <x:c r="B77" s="1" t="inlineStr">
        <x:is>
          <x:t xml:space="preserve">Round1</x:t>
        </x:is>
      </x:c>
      <x:c r="C77" s="1" t="inlineStr">
        <x:is>
          <x:t xml:space="preserve">Closure_108</x:t>
        </x:is>
      </x:c>
      <x:c r="D77" s="1" t="inlineStr">
        <x:is>
          <x:t xml:space="preserve">NOT_AVAILABLE</x:t>
        </x:is>
      </x:c>
      <x:c r="E77" s="5"/>
      <x:c r="F77" s="4">
        <x:v>0</x:v>
      </x:c>
      <x:c r="G77" s="4">
        <x:v>7647</x:v>
      </x:c>
      <x:c r="H77" s="6">
        <x:v>40.53</x:v>
      </x:c>
      <x:c r="I77" s="16">
        <x:v>1</x:v>
      </x:c>
      <x:c r="J77"/>
      <x:c r="K77" s="4"/>
      <x:c r="L77" s="4"/>
      <x:c r="M77" s="4"/>
      <x:c r="N77" s="5"/>
    </x:row>
    <x:row r="78" ht="24" customHeight="1">
      <x:c r="A78" s="1" t="inlineStr">
        <x:is>
          <x:t xml:space="preserve">RESULT</x:t>
        </x:is>
      </x:c>
      <x:c r="B78" s="1" t="inlineStr">
        <x:is>
          <x:t xml:space="preserve">Round1</x:t>
        </x:is>
      </x:c>
      <x:c r="C78" s="1" t="inlineStr">
        <x:is>
          <x:t xml:space="preserve">Closure_109</x:t>
        </x:is>
      </x:c>
      <x:c r="D78" s="1" t="inlineStr">
        <x:is>
          <x:t xml:space="preserve">NOT_AVAILABLE</x:t>
        </x:is>
      </x:c>
      <x:c r="E78" s="5"/>
      <x:c r="F78" s="4">
        <x:v>0</x:v>
      </x:c>
      <x:c r="G78" s="4">
        <x:v>15742</x:v>
      </x:c>
      <x:c r="H78" s="6">
        <x:v>6.02</x:v>
      </x:c>
      <x:c r="I78" s="16">
        <x:v>1</x:v>
      </x:c>
      <x:c r="J78"/>
      <x:c r="K78" s="4"/>
      <x:c r="L78" s="4"/>
      <x:c r="M78" s="4"/>
      <x:c r="N78" s="5"/>
    </x:row>
    <x:row r="79" ht="24" customHeight="1">
      <x:c r="A79" s="1" t="inlineStr">
        <x:is>
          <x:t xml:space="preserve">RESULT</x:t>
        </x:is>
      </x:c>
      <x:c r="B79" s="1" t="inlineStr">
        <x:is>
          <x:t xml:space="preserve">Round1</x:t>
        </x:is>
      </x:c>
      <x:c r="C79" s="1" t="inlineStr">
        <x:is>
          <x:t xml:space="preserve">Closure_11</x:t>
        </x:is>
      </x:c>
      <x:c r="D79" s="1" t="inlineStr">
        <x:is>
          <x:t xml:space="preserve">NOT_AVAILABLE</x:t>
        </x:is>
      </x:c>
      <x:c r="E79" s="5"/>
      <x:c r="F79" s="4">
        <x:v>0</x:v>
      </x:c>
      <x:c r="G79" s="4">
        <x:v>16438</x:v>
      </x:c>
      <x:c r="H79" s="6">
        <x:v>84.14</x:v>
      </x:c>
      <x:c r="I79" s="16">
        <x:v>1</x:v>
      </x:c>
      <x:c r="J79"/>
      <x:c r="K79" s="4"/>
      <x:c r="L79" s="4"/>
      <x:c r="M79" s="4"/>
      <x:c r="N79" s="5"/>
    </x:row>
    <x:row r="80" ht="24" customHeight="1">
      <x:c r="A80" s="1" t="inlineStr">
        <x:is>
          <x:t xml:space="preserve">RESULT</x:t>
        </x:is>
      </x:c>
      <x:c r="B80" s="1" t="inlineStr">
        <x:is>
          <x:t xml:space="preserve">Round1</x:t>
        </x:is>
      </x:c>
      <x:c r="C80" s="1" t="inlineStr">
        <x:is>
          <x:t xml:space="preserve">Closure_110</x:t>
        </x:is>
      </x:c>
      <x:c r="D80" s="1" t="inlineStr">
        <x:is>
          <x:t xml:space="preserve">NOT_AVAILABLE</x:t>
        </x:is>
      </x:c>
      <x:c r="E80" s="5"/>
      <x:c r="F80" s="4">
        <x:v>0</x:v>
      </x:c>
      <x:c r="G80" s="4">
        <x:v>27639</x:v>
      </x:c>
      <x:c r="H80" s="6">
        <x:v>234.41</x:v>
      </x:c>
      <x:c r="I80" s="16">
        <x:v>1</x:v>
      </x:c>
      <x:c r="J80"/>
      <x:c r="K80" s="4"/>
      <x:c r="L80" s="4"/>
      <x:c r="M80" s="4"/>
      <x:c r="N80" s="5"/>
    </x:row>
    <x:row r="81" ht="24" customHeight="1">
      <x:c r="A81" s="1" t="inlineStr">
        <x:is>
          <x:t xml:space="preserve">RESULT</x:t>
        </x:is>
      </x:c>
      <x:c r="B81" s="1" t="inlineStr">
        <x:is>
          <x:t xml:space="preserve">Round1</x:t>
        </x:is>
      </x:c>
      <x:c r="C81" s="1" t="inlineStr">
        <x:is>
          <x:t xml:space="preserve">Closure_111</x:t>
        </x:is>
      </x:c>
      <x:c r="D81" s="1" t="inlineStr">
        <x:is>
          <x:t xml:space="preserve">NOT_AVAILABLE</x:t>
        </x:is>
      </x:c>
      <x:c r="E81" s="5"/>
      <x:c r="F81" s="4">
        <x:v>0</x:v>
      </x:c>
      <x:c r="G81" s="4">
        <x:v>7786</x:v>
      </x:c>
      <x:c r="H81" s="6">
        <x:v>147.41</x:v>
      </x:c>
      <x:c r="I81" s="16">
        <x:v>1</x:v>
      </x:c>
      <x:c r="J81"/>
      <x:c r="K81" s="4"/>
      <x:c r="L81" s="4"/>
      <x:c r="M81" s="4"/>
      <x:c r="N81" s="5"/>
    </x:row>
    <x:row r="82" ht="24" customHeight="1">
      <x:c r="A82" s="1" t="inlineStr">
        <x:is>
          <x:t xml:space="preserve">RESULT</x:t>
        </x:is>
      </x:c>
      <x:c r="B82" s="1" t="inlineStr">
        <x:is>
          <x:t xml:space="preserve">Round1</x:t>
        </x:is>
      </x:c>
      <x:c r="C82" s="1" t="inlineStr">
        <x:is>
          <x:t xml:space="preserve">Closure_112</x:t>
        </x:is>
      </x:c>
      <x:c r="D82" s="1" t="inlineStr">
        <x:is>
          <x:t xml:space="preserve">NOT_AVAILABLE</x:t>
        </x:is>
      </x:c>
      <x:c r="E82" s="5"/>
      <x:c r="F82" s="4">
        <x:v>0</x:v>
      </x:c>
      <x:c r="G82" s="4">
        <x:v>14397</x:v>
      </x:c>
      <x:c r="H82" s="6">
        <x:v>106.49</x:v>
      </x:c>
      <x:c r="I82" s="16">
        <x:v>1</x:v>
      </x:c>
      <x:c r="J82"/>
      <x:c r="K82" s="4"/>
      <x:c r="L82" s="4"/>
      <x:c r="M82" s="4"/>
      <x:c r="N82" s="5"/>
    </x:row>
    <x:row r="83" ht="24" customHeight="1">
      <x:c r="A83" s="1" t="inlineStr">
        <x:is>
          <x:t xml:space="preserve">RESULT</x:t>
        </x:is>
      </x:c>
      <x:c r="B83" s="1" t="inlineStr">
        <x:is>
          <x:t xml:space="preserve">Round1</x:t>
        </x:is>
      </x:c>
      <x:c r="C83" s="1" t="inlineStr">
        <x:is>
          <x:t xml:space="preserve">Closure_113</x:t>
        </x:is>
      </x:c>
      <x:c r="D83" s="1" t="inlineStr">
        <x:is>
          <x:t xml:space="preserve">NOT_AVAILABLE</x:t>
        </x:is>
      </x:c>
      <x:c r="E83" s="5"/>
      <x:c r="F83" s="4">
        <x:v>0</x:v>
      </x:c>
      <x:c r="G83" s="4">
        <x:v>10558</x:v>
      </x:c>
      <x:c r="H83" s="6">
        <x:v>59.15</x:v>
      </x:c>
      <x:c r="I83" s="16">
        <x:v>1</x:v>
      </x:c>
      <x:c r="J83"/>
      <x:c r="K83" s="4"/>
      <x:c r="L83" s="4"/>
      <x:c r="M83" s="4"/>
      <x:c r="N83" s="5"/>
    </x:row>
    <x:row r="84" ht="24" customHeight="1">
      <x:c r="A84" s="1" t="inlineStr">
        <x:is>
          <x:t xml:space="preserve">RESULT</x:t>
        </x:is>
      </x:c>
      <x:c r="B84" s="1" t="inlineStr">
        <x:is>
          <x:t xml:space="preserve">Round1</x:t>
        </x:is>
      </x:c>
      <x:c r="C84" s="1" t="inlineStr">
        <x:is>
          <x:t xml:space="preserve">Closure_114</x:t>
        </x:is>
      </x:c>
      <x:c r="D84" s="1" t="inlineStr">
        <x:is>
          <x:t xml:space="preserve">NOT_AVAILABLE</x:t>
        </x:is>
      </x:c>
      <x:c r="E84" s="5"/>
      <x:c r="F84" s="4">
        <x:v>0</x:v>
      </x:c>
      <x:c r="G84" s="4">
        <x:v>13109</x:v>
      </x:c>
      <x:c r="H84" s="6">
        <x:v>74.95</x:v>
      </x:c>
      <x:c r="I84" s="16">
        <x:v>1</x:v>
      </x:c>
      <x:c r="J84"/>
      <x:c r="K84" s="4"/>
      <x:c r="L84" s="4"/>
      <x:c r="M84" s="4"/>
      <x:c r="N84" s="5"/>
    </x:row>
    <x:row r="85" ht="24" customHeight="1">
      <x:c r="A85" s="1" t="inlineStr">
        <x:is>
          <x:t xml:space="preserve">RESULT</x:t>
        </x:is>
      </x:c>
      <x:c r="B85" s="1" t="inlineStr">
        <x:is>
          <x:t xml:space="preserve">Round1</x:t>
        </x:is>
      </x:c>
      <x:c r="C85" s="1" t="inlineStr">
        <x:is>
          <x:t xml:space="preserve">Closure_115</x:t>
        </x:is>
      </x:c>
      <x:c r="D85" s="1" t="inlineStr">
        <x:is>
          <x:t xml:space="preserve">NOT_AVAILABLE</x:t>
        </x:is>
      </x:c>
      <x:c r="E85" s="5"/>
      <x:c r="F85" s="4">
        <x:v>0</x:v>
      </x:c>
      <x:c r="G85" s="4">
        <x:v>8334</x:v>
      </x:c>
      <x:c r="H85" s="6">
        <x:v>75.67</x:v>
      </x:c>
      <x:c r="I85" s="16">
        <x:v>1</x:v>
      </x:c>
      <x:c r="J85"/>
      <x:c r="K85" s="4"/>
      <x:c r="L85" s="4"/>
      <x:c r="M85" s="4"/>
      <x:c r="N85" s="5"/>
    </x:row>
    <x:row r="86" ht="24" customHeight="1">
      <x:c r="A86" s="1" t="inlineStr">
        <x:is>
          <x:t xml:space="preserve">RESULT</x:t>
        </x:is>
      </x:c>
      <x:c r="B86" s="1" t="inlineStr">
        <x:is>
          <x:t xml:space="preserve">Round1</x:t>
        </x:is>
      </x:c>
      <x:c r="C86" s="1" t="inlineStr">
        <x:is>
          <x:t xml:space="preserve">Closure_116</x:t>
        </x:is>
      </x:c>
      <x:c r="D86" s="1" t="inlineStr">
        <x:is>
          <x:t xml:space="preserve">NOT_AVAILABLE</x:t>
        </x:is>
      </x:c>
      <x:c r="E86" s="5"/>
      <x:c r="F86" s="4">
        <x:v>0</x:v>
      </x:c>
      <x:c r="G86" s="4">
        <x:v>8415</x:v>
      </x:c>
      <x:c r="H86" s="6">
        <x:v>78.09</x:v>
      </x:c>
      <x:c r="I86" s="16">
        <x:v>1</x:v>
      </x:c>
      <x:c r="J86"/>
      <x:c r="K86" s="4"/>
      <x:c r="L86" s="4"/>
      <x:c r="M86" s="4"/>
      <x:c r="N86" s="5"/>
    </x:row>
    <x:row r="87" ht="24" customHeight="1">
      <x:c r="A87" s="1" t="inlineStr">
        <x:is>
          <x:t xml:space="preserve">RESULT</x:t>
        </x:is>
      </x:c>
      <x:c r="B87" s="1" t="inlineStr">
        <x:is>
          <x:t xml:space="preserve">Round1</x:t>
        </x:is>
      </x:c>
      <x:c r="C87" s="1" t="inlineStr">
        <x:is>
          <x:t xml:space="preserve">Closure_117</x:t>
        </x:is>
      </x:c>
      <x:c r="D87" s="1" t="inlineStr">
        <x:is>
          <x:t xml:space="preserve">NOT_AVAILABLE</x:t>
        </x:is>
      </x:c>
      <x:c r="E87" s="5"/>
      <x:c r="F87" s="4">
        <x:v>0</x:v>
      </x:c>
      <x:c r="G87" s="4">
        <x:v>10138</x:v>
      </x:c>
      <x:c r="H87" s="6">
        <x:v>111.72</x:v>
      </x:c>
      <x:c r="I87" s="16">
        <x:v>1</x:v>
      </x:c>
      <x:c r="J87"/>
      <x:c r="K87" s="4"/>
      <x:c r="L87" s="4"/>
      <x:c r="M87" s="4"/>
      <x:c r="N87" s="5"/>
    </x:row>
    <x:row r="88" ht="24" customHeight="1">
      <x:c r="A88" s="1" t="inlineStr">
        <x:is>
          <x:t xml:space="preserve">RESULT</x:t>
        </x:is>
      </x:c>
      <x:c r="B88" s="1" t="inlineStr">
        <x:is>
          <x:t xml:space="preserve">Round1</x:t>
        </x:is>
      </x:c>
      <x:c r="C88" s="1" t="inlineStr">
        <x:is>
          <x:t xml:space="preserve">Closure_118</x:t>
        </x:is>
      </x:c>
      <x:c r="D88" s="1" t="inlineStr">
        <x:is>
          <x:t xml:space="preserve">NOT_AVAILABLE</x:t>
        </x:is>
      </x:c>
      <x:c r="E88" s="5"/>
      <x:c r="F88" s="4">
        <x:v>0</x:v>
      </x:c>
      <x:c r="G88" s="4">
        <x:v>9177</x:v>
      </x:c>
      <x:c r="H88" s="6">
        <x:v>31.36</x:v>
      </x:c>
      <x:c r="I88" s="16">
        <x:v>1</x:v>
      </x:c>
      <x:c r="J88"/>
      <x:c r="K88" s="4"/>
      <x:c r="L88" s="4"/>
      <x:c r="M88" s="4"/>
      <x:c r="N88" s="5"/>
    </x:row>
    <x:row r="89" ht="24" customHeight="1">
      <x:c r="A89" s="1" t="inlineStr">
        <x:is>
          <x:t xml:space="preserve">RESULT</x:t>
        </x:is>
      </x:c>
      <x:c r="B89" s="1" t="inlineStr">
        <x:is>
          <x:t xml:space="preserve">Round1</x:t>
        </x:is>
      </x:c>
      <x:c r="C89" s="1" t="inlineStr">
        <x:is>
          <x:t xml:space="preserve">Closure_119</x:t>
        </x:is>
      </x:c>
      <x:c r="D89" s="1" t="inlineStr">
        <x:is>
          <x:t xml:space="preserve">NOT_AVAILABLE</x:t>
        </x:is>
      </x:c>
      <x:c r="E89" s="5"/>
      <x:c r="F89" s="4">
        <x:v>0</x:v>
      </x:c>
      <x:c r="G89" s="4">
        <x:v>11476</x:v>
      </x:c>
      <x:c r="H89" s="6">
        <x:v>107.35</x:v>
      </x:c>
      <x:c r="I89" s="16">
        <x:v>1</x:v>
      </x:c>
      <x:c r="J89"/>
      <x:c r="K89" s="4"/>
      <x:c r="L89" s="4"/>
      <x:c r="M89" s="4"/>
      <x:c r="N89" s="5"/>
    </x:row>
    <x:row r="90" ht="24" customHeight="1">
      <x:c r="A90" s="1" t="inlineStr">
        <x:is>
          <x:t xml:space="preserve">RESULT</x:t>
        </x:is>
      </x:c>
      <x:c r="B90" s="1" t="inlineStr">
        <x:is>
          <x:t xml:space="preserve">Round1</x:t>
        </x:is>
      </x:c>
      <x:c r="C90" s="1" t="inlineStr">
        <x:is>
          <x:t xml:space="preserve">Closure_12</x:t>
        </x:is>
      </x:c>
      <x:c r="D90" s="1" t="inlineStr">
        <x:is>
          <x:t xml:space="preserve">NOT_AVAILABLE</x:t>
        </x:is>
      </x:c>
      <x:c r="E90" s="5"/>
      <x:c r="F90" s="4">
        <x:v>0</x:v>
      </x:c>
      <x:c r="G90" s="4">
        <x:v>9632</x:v>
      </x:c>
      <x:c r="H90" s="6">
        <x:v>183.72</x:v>
      </x:c>
      <x:c r="I90" s="16">
        <x:v>1</x:v>
      </x:c>
      <x:c r="J90"/>
      <x:c r="K90" s="4"/>
      <x:c r="L90" s="4"/>
      <x:c r="M90" s="4"/>
      <x:c r="N90" s="5"/>
    </x:row>
    <x:row r="91" ht="24" customHeight="1">
      <x:c r="A91" s="1" t="inlineStr">
        <x:is>
          <x:t xml:space="preserve">RESULT</x:t>
        </x:is>
      </x:c>
      <x:c r="B91" s="1" t="inlineStr">
        <x:is>
          <x:t xml:space="preserve">Round1</x:t>
        </x:is>
      </x:c>
      <x:c r="C91" s="1" t="inlineStr">
        <x:is>
          <x:t xml:space="preserve">Closure_120</x:t>
        </x:is>
      </x:c>
      <x:c r="D91" s="1" t="inlineStr">
        <x:is>
          <x:t xml:space="preserve">NOT_AVAILABLE</x:t>
        </x:is>
      </x:c>
      <x:c r="E91" s="5"/>
      <x:c r="F91" s="4">
        <x:v>0</x:v>
      </x:c>
      <x:c r="G91" s="4">
        <x:v>5761</x:v>
      </x:c>
      <x:c r="H91" s="6">
        <x:v>40.19</x:v>
      </x:c>
      <x:c r="I91" s="16">
        <x:v>1</x:v>
      </x:c>
      <x:c r="J91"/>
      <x:c r="K91" s="4"/>
      <x:c r="L91" s="4"/>
      <x:c r="M91" s="4"/>
      <x:c r="N91" s="5"/>
    </x:row>
    <x:row r="92" ht="24" customHeight="1">
      <x:c r="A92" s="1" t="inlineStr">
        <x:is>
          <x:t xml:space="preserve">RESULT</x:t>
        </x:is>
      </x:c>
      <x:c r="B92" s="1" t="inlineStr">
        <x:is>
          <x:t xml:space="preserve">Round1</x:t>
        </x:is>
      </x:c>
      <x:c r="C92" s="1" t="inlineStr">
        <x:is>
          <x:t xml:space="preserve">Closure_121</x:t>
        </x:is>
      </x:c>
      <x:c r="D92" s="1" t="inlineStr">
        <x:is>
          <x:t xml:space="preserve">NOT_AVAILABLE</x:t>
        </x:is>
      </x:c>
      <x:c r="E92" s="5"/>
      <x:c r="F92" s="4">
        <x:v>0</x:v>
      </x:c>
      <x:c r="G92" s="4">
        <x:v>8308</x:v>
      </x:c>
      <x:c r="H92" s="6">
        <x:v>98.02</x:v>
      </x:c>
      <x:c r="I92" s="16">
        <x:v>1</x:v>
      </x:c>
      <x:c r="J92"/>
      <x:c r="K92" s="4"/>
      <x:c r="L92" s="4"/>
      <x:c r="M92" s="4"/>
      <x:c r="N92" s="5"/>
    </x:row>
    <x:row r="93" ht="24" customHeight="1">
      <x:c r="A93" s="1" t="inlineStr">
        <x:is>
          <x:t xml:space="preserve">RESULT</x:t>
        </x:is>
      </x:c>
      <x:c r="B93" s="1" t="inlineStr">
        <x:is>
          <x:t xml:space="preserve">Round1</x:t>
        </x:is>
      </x:c>
      <x:c r="C93" s="1" t="inlineStr">
        <x:is>
          <x:t xml:space="preserve">Closure_122</x:t>
        </x:is>
      </x:c>
      <x:c r="D93" s="1" t="inlineStr">
        <x:is>
          <x:t xml:space="preserve">NOT_AVAILABLE</x:t>
        </x:is>
      </x:c>
      <x:c r="E93" s="5"/>
      <x:c r="F93" s="4">
        <x:v>0</x:v>
      </x:c>
      <x:c r="G93" s="4">
        <x:v>14331</x:v>
      </x:c>
      <x:c r="H93" s="6">
        <x:v>56.31</x:v>
      </x:c>
      <x:c r="I93" s="16">
        <x:v>1</x:v>
      </x:c>
      <x:c r="J93"/>
      <x:c r="K93" s="4"/>
      <x:c r="L93" s="4"/>
      <x:c r="M93" s="4"/>
      <x:c r="N93" s="5"/>
    </x:row>
    <x:row r="94" ht="24" customHeight="1">
      <x:c r="A94" s="1" t="inlineStr">
        <x:is>
          <x:t xml:space="preserve">RESULT</x:t>
        </x:is>
      </x:c>
      <x:c r="B94" s="1" t="inlineStr">
        <x:is>
          <x:t xml:space="preserve">Round1</x:t>
        </x:is>
      </x:c>
      <x:c r="C94" s="1" t="inlineStr">
        <x:is>
          <x:t xml:space="preserve">Closure_123</x:t>
        </x:is>
      </x:c>
      <x:c r="D94" s="1" t="inlineStr">
        <x:is>
          <x:t xml:space="preserve">NOT_AVAILABLE</x:t>
        </x:is>
      </x:c>
      <x:c r="E94" s="5"/>
      <x:c r="F94" s="4">
        <x:v>0</x:v>
      </x:c>
      <x:c r="G94" s="4">
        <x:v>14580</x:v>
      </x:c>
      <x:c r="H94" s="6">
        <x:v>173.39</x:v>
      </x:c>
      <x:c r="I94" s="16">
        <x:v>1</x:v>
      </x:c>
      <x:c r="J94"/>
      <x:c r="K94" s="4"/>
      <x:c r="L94" s="4"/>
      <x:c r="M94" s="4"/>
      <x:c r="N94" s="5"/>
    </x:row>
    <x:row r="95" ht="24" customHeight="1">
      <x:c r="A95" s="1" t="inlineStr">
        <x:is>
          <x:t xml:space="preserve">RESULT</x:t>
        </x:is>
      </x:c>
      <x:c r="B95" s="1" t="inlineStr">
        <x:is>
          <x:t xml:space="preserve">Round1</x:t>
        </x:is>
      </x:c>
      <x:c r="C95" s="1" t="inlineStr">
        <x:is>
          <x:t xml:space="preserve">Closure_124</x:t>
        </x:is>
      </x:c>
      <x:c r="D95" s="1" t="inlineStr">
        <x:is>
          <x:t xml:space="preserve">NOT_AVAILABLE</x:t>
        </x:is>
      </x:c>
      <x:c r="E95" s="5"/>
      <x:c r="F95" s="4">
        <x:v>0</x:v>
      </x:c>
      <x:c r="G95" s="4">
        <x:v>6807</x:v>
      </x:c>
      <x:c r="H95" s="6">
        <x:v>121.79</x:v>
      </x:c>
      <x:c r="I95" s="16">
        <x:v>1</x:v>
      </x:c>
      <x:c r="J95"/>
      <x:c r="K95" s="4"/>
      <x:c r="L95" s="4"/>
      <x:c r="M95" s="4"/>
      <x:c r="N95" s="5"/>
    </x:row>
    <x:row r="96" ht="24" customHeight="1">
      <x:c r="A96" s="1" t="inlineStr">
        <x:is>
          <x:t xml:space="preserve">RESULT</x:t>
        </x:is>
      </x:c>
      <x:c r="B96" s="1" t="inlineStr">
        <x:is>
          <x:t xml:space="preserve">Round1</x:t>
        </x:is>
      </x:c>
      <x:c r="C96" s="1" t="inlineStr">
        <x:is>
          <x:t xml:space="preserve">Closure_125</x:t>
        </x:is>
      </x:c>
      <x:c r="D96" s="1" t="inlineStr">
        <x:is>
          <x:t xml:space="preserve">NOT_AVAILABLE</x:t>
        </x:is>
      </x:c>
      <x:c r="E96" s="5"/>
      <x:c r="F96" s="4">
        <x:v>0</x:v>
      </x:c>
      <x:c r="G96" s="4">
        <x:v>16716</x:v>
      </x:c>
      <x:c r="H96" s="6">
        <x:v>49.04</x:v>
      </x:c>
      <x:c r="I96" s="16">
        <x:v>1</x:v>
      </x:c>
      <x:c r="J96"/>
      <x:c r="K96" s="4"/>
      <x:c r="L96" s="4"/>
      <x:c r="M96" s="4"/>
      <x:c r="N96" s="5"/>
    </x:row>
    <x:row r="97" ht="24" customHeight="1">
      <x:c r="A97" s="1" t="inlineStr">
        <x:is>
          <x:t xml:space="preserve">RESULT</x:t>
        </x:is>
      </x:c>
      <x:c r="B97" s="1" t="inlineStr">
        <x:is>
          <x:t xml:space="preserve">Round1</x:t>
        </x:is>
      </x:c>
      <x:c r="C97" s="1" t="inlineStr">
        <x:is>
          <x:t xml:space="preserve">Closure_126</x:t>
        </x:is>
      </x:c>
      <x:c r="D97" s="1" t="inlineStr">
        <x:is>
          <x:t xml:space="preserve">NOT_AVAILABLE</x:t>
        </x:is>
      </x:c>
      <x:c r="E97" s="5"/>
      <x:c r="F97" s="4">
        <x:v>0</x:v>
      </x:c>
      <x:c r="G97" s="4">
        <x:v>5528</x:v>
      </x:c>
      <x:c r="H97" s="6">
        <x:v>53.96</x:v>
      </x:c>
      <x:c r="I97" s="16">
        <x:v>1</x:v>
      </x:c>
      <x:c r="J97"/>
      <x:c r="K97" s="4"/>
      <x:c r="L97" s="4"/>
      <x:c r="M97" s="4"/>
      <x:c r="N97" s="5"/>
    </x:row>
    <x:row r="98" ht="24" customHeight="1">
      <x:c r="A98" s="1" t="inlineStr">
        <x:is>
          <x:t xml:space="preserve">RESULT</x:t>
        </x:is>
      </x:c>
      <x:c r="B98" s="1" t="inlineStr">
        <x:is>
          <x:t xml:space="preserve">Round1</x:t>
        </x:is>
      </x:c>
      <x:c r="C98" s="1" t="inlineStr">
        <x:is>
          <x:t xml:space="preserve">Closure_127</x:t>
        </x:is>
      </x:c>
      <x:c r="D98" s="1" t="inlineStr">
        <x:is>
          <x:t xml:space="preserve">NOT_AVAILABLE</x:t>
        </x:is>
      </x:c>
      <x:c r="E98" s="5"/>
      <x:c r="F98" s="4">
        <x:v>0</x:v>
      </x:c>
      <x:c r="G98" s="4">
        <x:v>3902</x:v>
      </x:c>
      <x:c r="H98" s="6">
        <x:v>44.46</x:v>
      </x:c>
      <x:c r="I98" s="16">
        <x:v>1</x:v>
      </x:c>
      <x:c r="J98"/>
      <x:c r="K98" s="4"/>
      <x:c r="L98" s="4"/>
      <x:c r="M98" s="4"/>
      <x:c r="N98" s="5"/>
    </x:row>
    <x:row r="99" ht="24" customHeight="1">
      <x:c r="A99" s="1" t="inlineStr">
        <x:is>
          <x:t xml:space="preserve">RESULT</x:t>
        </x:is>
      </x:c>
      <x:c r="B99" s="1" t="inlineStr">
        <x:is>
          <x:t xml:space="preserve">Round1</x:t>
        </x:is>
      </x:c>
      <x:c r="C99" s="1" t="inlineStr">
        <x:is>
          <x:t xml:space="preserve">Closure_128</x:t>
        </x:is>
      </x:c>
      <x:c r="D99" s="1" t="inlineStr">
        <x:is>
          <x:t xml:space="preserve">NOT_AVAILABLE</x:t>
        </x:is>
      </x:c>
      <x:c r="E99" s="5"/>
      <x:c r="F99" s="4">
        <x:v>0</x:v>
      </x:c>
      <x:c r="G99" s="4">
        <x:v>13228</x:v>
      </x:c>
      <x:c r="H99" s="6">
        <x:v>143.85</x:v>
      </x:c>
      <x:c r="I99" s="16">
        <x:v>1</x:v>
      </x:c>
      <x:c r="J99"/>
      <x:c r="K99" s="4"/>
      <x:c r="L99" s="4"/>
      <x:c r="M99" s="4"/>
      <x:c r="N99" s="5"/>
    </x:row>
    <x:row r="100" ht="24" customHeight="1">
      <x:c r="A100" s="1" t="inlineStr">
        <x:is>
          <x:t xml:space="preserve">RESULT</x:t>
        </x:is>
      </x:c>
      <x:c r="B100" s="1" t="inlineStr">
        <x:is>
          <x:t xml:space="preserve">Round1</x:t>
        </x:is>
      </x:c>
      <x:c r="C100" s="1" t="inlineStr">
        <x:is>
          <x:t xml:space="preserve">Closure_129</x:t>
        </x:is>
      </x:c>
      <x:c r="D100" s="1" t="inlineStr">
        <x:is>
          <x:t xml:space="preserve">NOT_AVAILABLE</x:t>
        </x:is>
      </x:c>
      <x:c r="E100" s="5"/>
      <x:c r="F100" s="4">
        <x:v>0</x:v>
      </x:c>
      <x:c r="G100" s="4">
        <x:v>5042</x:v>
      </x:c>
      <x:c r="H100" s="6">
        <x:v>70.98</x:v>
      </x:c>
      <x:c r="I100" s="16">
        <x:v>1</x:v>
      </x:c>
      <x:c r="J100"/>
      <x:c r="K100" s="4"/>
      <x:c r="L100" s="4"/>
      <x:c r="M100" s="4"/>
      <x:c r="N100" s="5"/>
    </x:row>
    <x:row r="101" ht="24" customHeight="1">
      <x:c r="A101" s="1" t="inlineStr">
        <x:is>
          <x:t xml:space="preserve">RESULT</x:t>
        </x:is>
      </x:c>
      <x:c r="B101" s="1" t="inlineStr">
        <x:is>
          <x:t xml:space="preserve">Round1</x:t>
        </x:is>
      </x:c>
      <x:c r="C101" s="1" t="inlineStr">
        <x:is>
          <x:t xml:space="preserve">Closure_13</x:t>
        </x:is>
      </x:c>
      <x:c r="D101" s="1" t="inlineStr">
        <x:is>
          <x:t xml:space="preserve">NOT_AVAILABLE</x:t>
        </x:is>
      </x:c>
      <x:c r="E101" s="5"/>
      <x:c r="F101" s="4">
        <x:v>0</x:v>
      </x:c>
      <x:c r="G101" s="4">
        <x:v>5387</x:v>
      </x:c>
      <x:c r="H101" s="6">
        <x:v>88.81</x:v>
      </x:c>
      <x:c r="I101" s="16">
        <x:v>1</x:v>
      </x:c>
      <x:c r="J101"/>
      <x:c r="K101" s="4"/>
      <x:c r="L101" s="4"/>
      <x:c r="M101" s="4"/>
      <x:c r="N101" s="5"/>
    </x:row>
    <x:row r="102" ht="24" customHeight="1">
      <x:c r="A102" s="1" t="inlineStr">
        <x:is>
          <x:t xml:space="preserve">RESULT</x:t>
        </x:is>
      </x:c>
      <x:c r="B102" s="1" t="inlineStr">
        <x:is>
          <x:t xml:space="preserve">Round1</x:t>
        </x:is>
      </x:c>
      <x:c r="C102" s="1" t="inlineStr">
        <x:is>
          <x:t xml:space="preserve">Closure_130</x:t>
        </x:is>
      </x:c>
      <x:c r="D102" s="1" t="inlineStr">
        <x:is>
          <x:t xml:space="preserve">NOT_AVAILABLE</x:t>
        </x:is>
      </x:c>
      <x:c r="E102" s="5"/>
      <x:c r="F102" s="4">
        <x:v>0</x:v>
      </x:c>
      <x:c r="G102" s="4">
        <x:v>9142</x:v>
      </x:c>
      <x:c r="H102" s="6">
        <x:v>92.22</x:v>
      </x:c>
      <x:c r="I102" s="16">
        <x:v>1</x:v>
      </x:c>
      <x:c r="J102"/>
      <x:c r="K102" s="4"/>
      <x:c r="L102" s="4"/>
      <x:c r="M102" s="4"/>
      <x:c r="N102" s="5"/>
    </x:row>
    <x:row r="103" ht="24" customHeight="1">
      <x:c r="A103" s="1" t="inlineStr">
        <x:is>
          <x:t xml:space="preserve">RESULT</x:t>
        </x:is>
      </x:c>
      <x:c r="B103" s="1" t="inlineStr">
        <x:is>
          <x:t xml:space="preserve">Round1</x:t>
        </x:is>
      </x:c>
      <x:c r="C103" s="1" t="inlineStr">
        <x:is>
          <x:t xml:space="preserve">Closure_131</x:t>
        </x:is>
      </x:c>
      <x:c r="D103" s="1" t="inlineStr">
        <x:is>
          <x:t xml:space="preserve">REVEALING</x:t>
        </x:is>
      </x:c>
      <x:c r="E103" s="5">
        <x:v>0.9912000000000001</x:v>
      </x:c>
      <x:c r="F103" s="4">
        <x:v>1</x:v>
      </x:c>
      <x:c r="G103" s="4">
        <x:v>5724</x:v>
      </x:c>
      <x:c r="H103" s="6">
        <x:v>82.71</x:v>
      </x:c>
      <x:c r="I103" s="16">
        <x:v>1</x:v>
      </x:c>
      <x:c r="J103">
        <x:v>113</x:v>
      </x:c>
      <x:c r="K103" s="4">
        <x:v>112</x:v>
      </x:c>
      <x:c r="L103" s="4">
        <x:v>165</x:v>
      </x:c>
      <x:c r="M103" s="4">
        <x:v>138</x:v>
      </x:c>
      <x:c r="N103" s="5">
        <x:v>0.8364</x:v>
      </x:c>
    </x:row>
    <x:row r="104" ht="24" customHeight="1">
      <x:c r="A104" s="1" t="inlineStr">
        <x:is>
          <x:t xml:space="preserve">RESULT</x:t>
        </x:is>
      </x:c>
      <x:c r="B104" s="1" t="inlineStr">
        <x:is>
          <x:t xml:space="preserve">Round1</x:t>
        </x:is>
      </x:c>
      <x:c r="C104" s="1" t="inlineStr">
        <x:is>
          <x:t xml:space="preserve">Closure_132</x:t>
        </x:is>
      </x:c>
      <x:c r="D104" s="1" t="inlineStr">
        <x:is>
          <x:t xml:space="preserve">NOT_AVAILABLE</x:t>
        </x:is>
      </x:c>
      <x:c r="E104" s="5"/>
      <x:c r="F104" s="4">
        <x:v>0</x:v>
      </x:c>
      <x:c r="G104" s="4">
        <x:v>15715</x:v>
      </x:c>
      <x:c r="H104" s="6">
        <x:v>167.93</x:v>
      </x:c>
      <x:c r="I104" s="16">
        <x:v>1</x:v>
      </x:c>
      <x:c r="J104"/>
      <x:c r="K104" s="4"/>
      <x:c r="L104" s="4"/>
      <x:c r="M104" s="4"/>
      <x:c r="N104" s="5"/>
    </x:row>
    <x:row r="105" ht="24" customHeight="1">
      <x:c r="A105" s="1" t="inlineStr">
        <x:is>
          <x:t xml:space="preserve">RESULT</x:t>
        </x:is>
      </x:c>
      <x:c r="B105" s="1" t="inlineStr">
        <x:is>
          <x:t xml:space="preserve">Round1</x:t>
        </x:is>
      </x:c>
      <x:c r="C105" s="1" t="inlineStr">
        <x:is>
          <x:t xml:space="preserve">Closure_133</x:t>
        </x:is>
      </x:c>
      <x:c r="D105" s="1" t="inlineStr">
        <x:is>
          <x:t xml:space="preserve">NOT_AVAILABLE</x:t>
        </x:is>
      </x:c>
      <x:c r="E105" s="5"/>
      <x:c r="F105" s="4">
        <x:v>0</x:v>
      </x:c>
      <x:c r="G105" s="4">
        <x:v>16180</x:v>
      </x:c>
      <x:c r="H105" s="6">
        <x:v>50.66</x:v>
      </x:c>
      <x:c r="I105" s="16">
        <x:v>1</x:v>
      </x:c>
      <x:c r="J105"/>
      <x:c r="K105" s="4"/>
      <x:c r="L105" s="4"/>
      <x:c r="M105" s="4"/>
      <x:c r="N105" s="5"/>
    </x:row>
    <x:row r="106" ht="24" customHeight="1">
      <x:c r="A106" s="1" t="inlineStr">
        <x:is>
          <x:t xml:space="preserve">RESULT</x:t>
        </x:is>
      </x:c>
      <x:c r="B106" s="1" t="inlineStr">
        <x:is>
          <x:t xml:space="preserve">Round1</x:t>
        </x:is>
      </x:c>
      <x:c r="C106" s="1" t="inlineStr">
        <x:is>
          <x:t xml:space="preserve">Closure_134</x:t>
        </x:is>
      </x:c>
      <x:c r="D106" s="1" t="inlineStr">
        <x:is>
          <x:t xml:space="preserve">NOT_AVAILABLE</x:t>
        </x:is>
      </x:c>
      <x:c r="E106" s="5"/>
      <x:c r="F106" s="4">
        <x:v>0</x:v>
      </x:c>
      <x:c r="G106" s="4">
        <x:v>20118</x:v>
      </x:c>
      <x:c r="H106" s="6">
        <x:v>135.19</x:v>
      </x:c>
      <x:c r="I106" s="16">
        <x:v>1</x:v>
      </x:c>
      <x:c r="J106"/>
      <x:c r="K106" s="4"/>
      <x:c r="L106" s="4"/>
      <x:c r="M106" s="4"/>
      <x:c r="N106" s="5"/>
    </x:row>
    <x:row r="107" ht="24" customHeight="1">
      <x:c r="A107" s="1" t="inlineStr">
        <x:is>
          <x:t xml:space="preserve">RESULT</x:t>
        </x:is>
      </x:c>
      <x:c r="B107" s="1" t="inlineStr">
        <x:is>
          <x:t xml:space="preserve">Round1</x:t>
        </x:is>
      </x:c>
      <x:c r="C107" s="1" t="inlineStr">
        <x:is>
          <x:t xml:space="preserve">Closure_135</x:t>
        </x:is>
      </x:c>
      <x:c r="D107" s="1" t="inlineStr">
        <x:is>
          <x:t xml:space="preserve">NOT_AVAILABLE</x:t>
        </x:is>
      </x:c>
      <x:c r="E107" s="5"/>
      <x:c r="F107" s="4">
        <x:v>0</x:v>
      </x:c>
      <x:c r="G107" s="4">
        <x:v>13883</x:v>
      </x:c>
      <x:c r="H107" s="6">
        <x:v>145.11</x:v>
      </x:c>
      <x:c r="I107" s="16">
        <x:v>1</x:v>
      </x:c>
      <x:c r="J107"/>
      <x:c r="K107" s="4"/>
      <x:c r="L107" s="4"/>
      <x:c r="M107" s="4"/>
      <x:c r="N107" s="5"/>
    </x:row>
    <x:row r="108" ht="24" customHeight="1">
      <x:c r="A108" s="1" t="inlineStr">
        <x:is>
          <x:t xml:space="preserve">RESULT</x:t>
        </x:is>
      </x:c>
      <x:c r="B108" s="1" t="inlineStr">
        <x:is>
          <x:t xml:space="preserve">Round1</x:t>
        </x:is>
      </x:c>
      <x:c r="C108" s="1" t="inlineStr">
        <x:is>
          <x:t xml:space="preserve">Closure_136</x:t>
        </x:is>
      </x:c>
      <x:c r="D108" s="1" t="inlineStr">
        <x:is>
          <x:t xml:space="preserve">NOT_AVAILABLE</x:t>
        </x:is>
      </x:c>
      <x:c r="E108" s="5"/>
      <x:c r="F108" s="4">
        <x:v>0</x:v>
      </x:c>
      <x:c r="G108" s="4">
        <x:v>15818</x:v>
      </x:c>
      <x:c r="H108" s="6">
        <x:v>263.19</x:v>
      </x:c>
      <x:c r="I108" s="16">
        <x:v>1</x:v>
      </x:c>
      <x:c r="J108"/>
      <x:c r="K108" s="4"/>
      <x:c r="L108" s="4"/>
      <x:c r="M108" s="4"/>
      <x:c r="N108" s="5"/>
    </x:row>
    <x:row r="109" ht="24" customHeight="1">
      <x:c r="A109" s="1" t="inlineStr">
        <x:is>
          <x:t xml:space="preserve">RESULT</x:t>
        </x:is>
      </x:c>
      <x:c r="B109" s="1" t="inlineStr">
        <x:is>
          <x:t xml:space="preserve">Round1</x:t>
        </x:is>
      </x:c>
      <x:c r="C109" s="1" t="inlineStr">
        <x:is>
          <x:t xml:space="preserve">Closure_137</x:t>
        </x:is>
      </x:c>
      <x:c r="D109" s="1" t="inlineStr">
        <x:is>
          <x:t xml:space="preserve">NOT_AVAILABLE</x:t>
        </x:is>
      </x:c>
      <x:c r="E109" s="5"/>
      <x:c r="F109" s="4">
        <x:v>0</x:v>
      </x:c>
      <x:c r="G109" s="4">
        <x:v>28000</x:v>
      </x:c>
      <x:c r="H109" s="6">
        <x:v>236.29</x:v>
      </x:c>
      <x:c r="I109" s="16">
        <x:v>1</x:v>
      </x:c>
      <x:c r="J109"/>
      <x:c r="K109" s="4"/>
      <x:c r="L109" s="4"/>
      <x:c r="M109" s="4"/>
      <x:c r="N109" s="5"/>
    </x:row>
    <x:row r="110" ht="24" customHeight="1">
      <x:c r="A110" s="1" t="inlineStr">
        <x:is>
          <x:t xml:space="preserve">RESULT</x:t>
        </x:is>
      </x:c>
      <x:c r="B110" s="1" t="inlineStr">
        <x:is>
          <x:t xml:space="preserve">Round1</x:t>
        </x:is>
      </x:c>
      <x:c r="C110" s="1" t="inlineStr">
        <x:is>
          <x:t xml:space="preserve">Closure_138</x:t>
        </x:is>
      </x:c>
      <x:c r="D110" s="1" t="inlineStr">
        <x:is>
          <x:t xml:space="preserve">NOT_AVAILABLE</x:t>
        </x:is>
      </x:c>
      <x:c r="E110" s="5"/>
      <x:c r="F110" s="4">
        <x:v>0</x:v>
      </x:c>
      <x:c r="G110" s="4">
        <x:v>18080</x:v>
      </x:c>
      <x:c r="H110" s="6">
        <x:v>224.55</x:v>
      </x:c>
      <x:c r="I110" s="16">
        <x:v>1</x:v>
      </x:c>
      <x:c r="J110"/>
      <x:c r="K110" s="4"/>
      <x:c r="L110" s="4"/>
      <x:c r="M110" s="4"/>
      <x:c r="N110" s="5"/>
    </x:row>
    <x:row r="111" ht="24" customHeight="1">
      <x:c r="A111" s="1" t="inlineStr">
        <x:is>
          <x:t xml:space="preserve">RESULT</x:t>
        </x:is>
      </x:c>
      <x:c r="B111" s="1" t="inlineStr">
        <x:is>
          <x:t xml:space="preserve">Round1</x:t>
        </x:is>
      </x:c>
      <x:c r="C111" s="1" t="inlineStr">
        <x:is>
          <x:t xml:space="preserve">Closure_139</x:t>
        </x:is>
      </x:c>
      <x:c r="D111" s="1" t="inlineStr">
        <x:is>
          <x:t xml:space="preserve">NOT_AVAILABLE</x:t>
        </x:is>
      </x:c>
      <x:c r="E111" s="5"/>
      <x:c r="F111" s="4">
        <x:v>0</x:v>
      </x:c>
      <x:c r="G111" s="4">
        <x:v>8189</x:v>
      </x:c>
      <x:c r="H111" s="6">
        <x:v>69.59</x:v>
      </x:c>
      <x:c r="I111" s="16">
        <x:v>1</x:v>
      </x:c>
      <x:c r="J111"/>
      <x:c r="K111" s="4"/>
      <x:c r="L111" s="4"/>
      <x:c r="M111" s="4"/>
      <x:c r="N111" s="5"/>
    </x:row>
    <x:row r="112" ht="24" customHeight="1">
      <x:c r="A112" s="1" t="inlineStr">
        <x:is>
          <x:t xml:space="preserve">RESULT</x:t>
        </x:is>
      </x:c>
      <x:c r="B112" s="1" t="inlineStr">
        <x:is>
          <x:t xml:space="preserve">Round1</x:t>
        </x:is>
      </x:c>
      <x:c r="C112" s="1" t="inlineStr">
        <x:is>
          <x:t xml:space="preserve">Closure_14</x:t>
        </x:is>
      </x:c>
      <x:c r="D112" s="1" t="inlineStr">
        <x:is>
          <x:t xml:space="preserve">NOT_AVAILABLE</x:t>
        </x:is>
      </x:c>
      <x:c r="E112" s="5"/>
      <x:c r="F112" s="4">
        <x:v>0</x:v>
      </x:c>
      <x:c r="G112" s="4">
        <x:v>8397</x:v>
      </x:c>
      <x:c r="H112" s="6">
        <x:v>49.3</x:v>
      </x:c>
      <x:c r="I112" s="16">
        <x:v>1</x:v>
      </x:c>
      <x:c r="J112"/>
      <x:c r="K112" s="4"/>
      <x:c r="L112" s="4"/>
      <x:c r="M112" s="4"/>
      <x:c r="N112" s="5"/>
    </x:row>
    <x:row r="113" ht="24" customHeight="1">
      <x:c r="A113" s="1" t="inlineStr">
        <x:is>
          <x:t xml:space="preserve">RESULT</x:t>
        </x:is>
      </x:c>
      <x:c r="B113" s="1" t="inlineStr">
        <x:is>
          <x:t xml:space="preserve">Round1</x:t>
        </x:is>
      </x:c>
      <x:c r="C113" s="1" t="inlineStr">
        <x:is>
          <x:t xml:space="preserve">Closure_140</x:t>
        </x:is>
      </x:c>
      <x:c r="D113" s="1" t="inlineStr">
        <x:is>
          <x:t xml:space="preserve">NOT_AVAILABLE</x:t>
        </x:is>
      </x:c>
      <x:c r="E113" s="5"/>
      <x:c r="F113" s="4">
        <x:v>0</x:v>
      </x:c>
      <x:c r="G113" s="4">
        <x:v>12170</x:v>
      </x:c>
      <x:c r="H113" s="6">
        <x:v>77.08</x:v>
      </x:c>
      <x:c r="I113" s="16">
        <x:v>1</x:v>
      </x:c>
      <x:c r="J113"/>
      <x:c r="K113" s="4"/>
      <x:c r="L113" s="4"/>
      <x:c r="M113" s="4"/>
      <x:c r="N113" s="5"/>
    </x:row>
    <x:row r="114" ht="24" customHeight="1">
      <x:c r="A114" s="1" t="inlineStr">
        <x:is>
          <x:t xml:space="preserve">RESULT</x:t>
        </x:is>
      </x:c>
      <x:c r="B114" s="1" t="inlineStr">
        <x:is>
          <x:t xml:space="preserve">Round1</x:t>
        </x:is>
      </x:c>
      <x:c r="C114" s="1" t="inlineStr">
        <x:is>
          <x:t xml:space="preserve">Closure_141</x:t>
        </x:is>
      </x:c>
      <x:c r="D114" s="1" t="inlineStr">
        <x:is>
          <x:t xml:space="preserve">NOT_AVAILABLE</x:t>
        </x:is>
      </x:c>
      <x:c r="E114" s="5"/>
      <x:c r="F114" s="4">
        <x:v>0</x:v>
      </x:c>
      <x:c r="G114" s="4">
        <x:v>24200</x:v>
      </x:c>
      <x:c r="H114" s="6">
        <x:v>255.03</x:v>
      </x:c>
      <x:c r="I114" s="16">
        <x:v>1</x:v>
      </x:c>
      <x:c r="J114"/>
      <x:c r="K114" s="4"/>
      <x:c r="L114" s="4"/>
      <x:c r="M114" s="4"/>
      <x:c r="N114" s="5"/>
    </x:row>
    <x:row r="115" ht="24" customHeight="1">
      <x:c r="A115" s="1" t="inlineStr">
        <x:is>
          <x:t xml:space="preserve">RESULT</x:t>
        </x:is>
      </x:c>
      <x:c r="B115" s="1" t="inlineStr">
        <x:is>
          <x:t xml:space="preserve">Round1</x:t>
        </x:is>
      </x:c>
      <x:c r="C115" s="1" t="inlineStr">
        <x:is>
          <x:t xml:space="preserve">Closure_142</x:t>
        </x:is>
      </x:c>
      <x:c r="D115" s="1" t="inlineStr">
        <x:is>
          <x:t xml:space="preserve">NOT_AVAILABLE</x:t>
        </x:is>
      </x:c>
      <x:c r="E115" s="5"/>
      <x:c r="F115" s="4">
        <x:v>0</x:v>
      </x:c>
      <x:c r="G115" s="4">
        <x:v>20660</x:v>
      </x:c>
      <x:c r="H115" s="6">
        <x:v>123.67</x:v>
      </x:c>
      <x:c r="I115" s="16">
        <x:v>1</x:v>
      </x:c>
      <x:c r="J115"/>
      <x:c r="K115" s="4"/>
      <x:c r="L115" s="4"/>
      <x:c r="M115" s="4"/>
      <x:c r="N115" s="5"/>
    </x:row>
    <x:row r="116" ht="24" customHeight="1">
      <x:c r="A116" s="1" t="inlineStr">
        <x:is>
          <x:t xml:space="preserve">RESULT</x:t>
        </x:is>
      </x:c>
      <x:c r="B116" s="1" t="inlineStr">
        <x:is>
          <x:t xml:space="preserve">Round1</x:t>
        </x:is>
      </x:c>
      <x:c r="C116" s="1" t="inlineStr">
        <x:is>
          <x:t xml:space="preserve">Closure_143</x:t>
        </x:is>
      </x:c>
      <x:c r="D116" s="1" t="inlineStr">
        <x:is>
          <x:t xml:space="preserve">NOT_AVAILABLE</x:t>
        </x:is>
      </x:c>
      <x:c r="E116" s="5"/>
      <x:c r="F116" s="4">
        <x:v>0</x:v>
      </x:c>
      <x:c r="G116" s="4">
        <x:v>12063</x:v>
      </x:c>
      <x:c r="H116" s="6">
        <x:v>80.72</x:v>
      </x:c>
      <x:c r="I116" s="16">
        <x:v>1</x:v>
      </x:c>
      <x:c r="J116"/>
      <x:c r="K116" s="4"/>
      <x:c r="L116" s="4"/>
      <x:c r="M116" s="4"/>
      <x:c r="N116" s="5"/>
    </x:row>
    <x:row r="117" ht="24" customHeight="1">
      <x:c r="A117" s="1" t="inlineStr">
        <x:is>
          <x:t xml:space="preserve">RESULT</x:t>
        </x:is>
      </x:c>
      <x:c r="B117" s="1" t="inlineStr">
        <x:is>
          <x:t xml:space="preserve">Round1</x:t>
        </x:is>
      </x:c>
      <x:c r="C117" s="1" t="inlineStr">
        <x:is>
          <x:t xml:space="preserve">Closure_144</x:t>
        </x:is>
      </x:c>
      <x:c r="D117" s="1" t="inlineStr">
        <x:is>
          <x:t xml:space="preserve">NOT_AVAILABLE</x:t>
        </x:is>
      </x:c>
      <x:c r="E117" s="5"/>
      <x:c r="F117" s="4">
        <x:v>0</x:v>
      </x:c>
      <x:c r="G117" s="4">
        <x:v>33319</x:v>
      </x:c>
      <x:c r="H117" s="6">
        <x:v>287.97</x:v>
      </x:c>
      <x:c r="I117" s="16">
        <x:v>1</x:v>
      </x:c>
      <x:c r="J117"/>
      <x:c r="K117" s="4"/>
      <x:c r="L117" s="4"/>
      <x:c r="M117" s="4"/>
      <x:c r="N117" s="5"/>
    </x:row>
    <x:row r="118" ht="24" customHeight="1">
      <x:c r="A118" s="1" t="inlineStr">
        <x:is>
          <x:t xml:space="preserve">RESULT</x:t>
        </x:is>
      </x:c>
      <x:c r="B118" s="1" t="inlineStr">
        <x:is>
          <x:t xml:space="preserve">Round1</x:t>
        </x:is>
      </x:c>
      <x:c r="C118" s="1" t="inlineStr">
        <x:is>
          <x:t xml:space="preserve">Closure_145</x:t>
        </x:is>
      </x:c>
      <x:c r="D118" s="1" t="inlineStr">
        <x:is>
          <x:t xml:space="preserve">NOT_AVAILABLE</x:t>
        </x:is>
      </x:c>
      <x:c r="E118" s="5"/>
      <x:c r="F118" s="4">
        <x:v>0</x:v>
      </x:c>
      <x:c r="G118" s="4">
        <x:v>12076</x:v>
      </x:c>
      <x:c r="H118" s="6">
        <x:v>166.92</x:v>
      </x:c>
      <x:c r="I118" s="16">
        <x:v>1</x:v>
      </x:c>
      <x:c r="J118"/>
      <x:c r="K118" s="4"/>
      <x:c r="L118" s="4"/>
      <x:c r="M118" s="4"/>
      <x:c r="N118" s="5"/>
    </x:row>
    <x:row r="119" ht="24" customHeight="1">
      <x:c r="A119" s="1" t="inlineStr">
        <x:is>
          <x:t xml:space="preserve">RESULT</x:t>
        </x:is>
      </x:c>
      <x:c r="B119" s="1" t="inlineStr">
        <x:is>
          <x:t xml:space="preserve">Round1</x:t>
        </x:is>
      </x:c>
      <x:c r="C119" s="1" t="inlineStr">
        <x:is>
          <x:t xml:space="preserve">Closure_146</x:t>
        </x:is>
      </x:c>
      <x:c r="D119" s="1" t="inlineStr">
        <x:is>
          <x:t xml:space="preserve">NOT_AVAILABLE</x:t>
        </x:is>
      </x:c>
      <x:c r="E119" s="5"/>
      <x:c r="F119" s="4">
        <x:v>0</x:v>
      </x:c>
      <x:c r="G119" s="4">
        <x:v>7634</x:v>
      </x:c>
      <x:c r="H119" s="6">
        <x:v>107.39</x:v>
      </x:c>
      <x:c r="I119" s="16">
        <x:v>1</x:v>
      </x:c>
      <x:c r="J119"/>
      <x:c r="K119" s="4"/>
      <x:c r="L119" s="4"/>
      <x:c r="M119" s="4"/>
      <x:c r="N119" s="5"/>
    </x:row>
    <x:row r="120" ht="24" customHeight="1">
      <x:c r="A120" s="1" t="inlineStr">
        <x:is>
          <x:t xml:space="preserve">RESULT</x:t>
        </x:is>
      </x:c>
      <x:c r="B120" s="1" t="inlineStr">
        <x:is>
          <x:t xml:space="preserve">Round1</x:t>
        </x:is>
      </x:c>
      <x:c r="C120" s="1" t="inlineStr">
        <x:is>
          <x:t xml:space="preserve">Closure_147</x:t>
        </x:is>
      </x:c>
      <x:c r="D120" s="1" t="inlineStr">
        <x:is>
          <x:t xml:space="preserve">NOT_AVAILABLE</x:t>
        </x:is>
      </x:c>
      <x:c r="E120" s="5"/>
      <x:c r="F120" s="4">
        <x:v>0</x:v>
      </x:c>
      <x:c r="G120" s="4">
        <x:v>11208</x:v>
      </x:c>
      <x:c r="H120" s="6">
        <x:v>157.01</x:v>
      </x:c>
      <x:c r="I120" s="16">
        <x:v>1</x:v>
      </x:c>
      <x:c r="J120"/>
      <x:c r="K120" s="4"/>
      <x:c r="L120" s="4"/>
      <x:c r="M120" s="4"/>
      <x:c r="N120" s="5"/>
    </x:row>
    <x:row r="121" ht="24" customHeight="1">
      <x:c r="A121" s="1" t="inlineStr">
        <x:is>
          <x:t xml:space="preserve">RESULT</x:t>
        </x:is>
      </x:c>
      <x:c r="B121" s="1" t="inlineStr">
        <x:is>
          <x:t xml:space="preserve">Round1</x:t>
        </x:is>
      </x:c>
      <x:c r="C121" s="1" t="inlineStr">
        <x:is>
          <x:t xml:space="preserve">Closure_148</x:t>
        </x:is>
      </x:c>
      <x:c r="D121" s="1" t="inlineStr">
        <x:is>
          <x:t xml:space="preserve">NOT_AVAILABLE</x:t>
        </x:is>
      </x:c>
      <x:c r="E121" s="5"/>
      <x:c r="F121" s="4">
        <x:v>0</x:v>
      </x:c>
      <x:c r="G121" s="4">
        <x:v>16168</x:v>
      </x:c>
      <x:c r="H121" s="6">
        <x:v>108.29</x:v>
      </x:c>
      <x:c r="I121" s="16">
        <x:v>1</x:v>
      </x:c>
      <x:c r="J121"/>
      <x:c r="K121" s="4"/>
      <x:c r="L121" s="4"/>
      <x:c r="M121" s="4"/>
      <x:c r="N121" s="5"/>
    </x:row>
    <x:row r="122" ht="24" customHeight="1">
      <x:c r="A122" s="1" t="inlineStr">
        <x:is>
          <x:t xml:space="preserve">RESULT</x:t>
        </x:is>
      </x:c>
      <x:c r="B122" s="1" t="inlineStr">
        <x:is>
          <x:t xml:space="preserve">Round1</x:t>
        </x:is>
      </x:c>
      <x:c r="C122" s="1" t="inlineStr">
        <x:is>
          <x:t xml:space="preserve">Closure_149</x:t>
        </x:is>
      </x:c>
      <x:c r="D122" s="1" t="inlineStr">
        <x:is>
          <x:t xml:space="preserve">NOT_AVAILABLE</x:t>
        </x:is>
      </x:c>
      <x:c r="E122" s="5"/>
      <x:c r="F122" s="4">
        <x:v>0</x:v>
      </x:c>
      <x:c r="G122" s="4">
        <x:v>38413</x:v>
      </x:c>
      <x:c r="H122" s="6">
        <x:v>274.87</x:v>
      </x:c>
      <x:c r="I122" s="16">
        <x:v>1</x:v>
      </x:c>
      <x:c r="J122"/>
      <x:c r="K122" s="4"/>
      <x:c r="L122" s="4"/>
      <x:c r="M122" s="4"/>
      <x:c r="N122" s="5"/>
    </x:row>
    <x:row r="123" ht="24" customHeight="1">
      <x:c r="A123" s="1" t="inlineStr">
        <x:is>
          <x:t xml:space="preserve">RESULT</x:t>
        </x:is>
      </x:c>
      <x:c r="B123" s="1" t="inlineStr">
        <x:is>
          <x:t xml:space="preserve">Round1</x:t>
        </x:is>
      </x:c>
      <x:c r="C123" s="1" t="inlineStr">
        <x:is>
          <x:t xml:space="preserve">Closure_15</x:t>
        </x:is>
      </x:c>
      <x:c r="D123" s="1" t="inlineStr">
        <x:is>
          <x:t xml:space="preserve">NOT_AVAILABLE</x:t>
        </x:is>
      </x:c>
      <x:c r="E123" s="5"/>
      <x:c r="F123" s="4">
        <x:v>0</x:v>
      </x:c>
      <x:c r="G123" s="4">
        <x:v>6991</x:v>
      </x:c>
      <x:c r="H123" s="6">
        <x:v>61.39</x:v>
      </x:c>
      <x:c r="I123" s="16">
        <x:v>1</x:v>
      </x:c>
      <x:c r="J123"/>
      <x:c r="K123" s="4"/>
      <x:c r="L123" s="4"/>
      <x:c r="M123" s="4"/>
      <x:c r="N123" s="5"/>
    </x:row>
    <x:row r="124" ht="24" customHeight="1">
      <x:c r="A124" s="1" t="inlineStr">
        <x:is>
          <x:t xml:space="preserve">RESULT</x:t>
        </x:is>
      </x:c>
      <x:c r="B124" s="1" t="inlineStr">
        <x:is>
          <x:t xml:space="preserve">Round1</x:t>
        </x:is>
      </x:c>
      <x:c r="C124" s="1" t="inlineStr">
        <x:is>
          <x:t xml:space="preserve">Closure_150</x:t>
        </x:is>
      </x:c>
      <x:c r="D124" s="1" t="inlineStr">
        <x:is>
          <x:t xml:space="preserve">NOT_AVAILABLE</x:t>
        </x:is>
      </x:c>
      <x:c r="E124" s="5"/>
      <x:c r="F124" s="4">
        <x:v>0</x:v>
      </x:c>
      <x:c r="G124" s="4">
        <x:v>18699</x:v>
      </x:c>
      <x:c r="H124" s="6">
        <x:v>240.13</x:v>
      </x:c>
      <x:c r="I124" s="16">
        <x:v>1</x:v>
      </x:c>
      <x:c r="J124"/>
      <x:c r="K124" s="4"/>
      <x:c r="L124" s="4"/>
      <x:c r="M124" s="4"/>
      <x:c r="N124" s="5"/>
    </x:row>
    <x:row r="125" ht="24" customHeight="1">
      <x:c r="A125" s="1" t="inlineStr">
        <x:is>
          <x:t xml:space="preserve">RESULT</x:t>
        </x:is>
      </x:c>
      <x:c r="B125" s="1" t="inlineStr">
        <x:is>
          <x:t xml:space="preserve">Round1</x:t>
        </x:is>
      </x:c>
      <x:c r="C125" s="1" t="inlineStr">
        <x:is>
          <x:t xml:space="preserve">Closure_151</x:t>
        </x:is>
      </x:c>
      <x:c r="D125" s="1" t="inlineStr">
        <x:is>
          <x:t xml:space="preserve">NOT_AVAILABLE</x:t>
        </x:is>
      </x:c>
      <x:c r="E125" s="5"/>
      <x:c r="F125" s="4">
        <x:v>0</x:v>
      </x:c>
      <x:c r="G125" s="4">
        <x:v>9837</x:v>
      </x:c>
      <x:c r="H125" s="6">
        <x:v>106.88</x:v>
      </x:c>
      <x:c r="I125" s="16">
        <x:v>1</x:v>
      </x:c>
      <x:c r="J125"/>
      <x:c r="K125" s="4"/>
      <x:c r="L125" s="4"/>
      <x:c r="M125" s="4"/>
      <x:c r="N125" s="5"/>
    </x:row>
    <x:row r="126" ht="24" customHeight="1">
      <x:c r="A126" s="1" t="inlineStr">
        <x:is>
          <x:t xml:space="preserve">RESULT</x:t>
        </x:is>
      </x:c>
      <x:c r="B126" s="1" t="inlineStr">
        <x:is>
          <x:t xml:space="preserve">Round1</x:t>
        </x:is>
      </x:c>
      <x:c r="C126" s="1" t="inlineStr">
        <x:is>
          <x:t xml:space="preserve">Closure_152</x:t>
        </x:is>
      </x:c>
      <x:c r="D126" s="1" t="inlineStr">
        <x:is>
          <x:t xml:space="preserve">NOT_AVAILABLE</x:t>
        </x:is>
      </x:c>
      <x:c r="E126" s="5"/>
      <x:c r="F126" s="4">
        <x:v>0</x:v>
      </x:c>
      <x:c r="G126" s="4">
        <x:v>8025</x:v>
      </x:c>
      <x:c r="H126" s="6">
        <x:v>64.75</x:v>
      </x:c>
      <x:c r="I126" s="16">
        <x:v>1</x:v>
      </x:c>
      <x:c r="J126"/>
      <x:c r="K126" s="4"/>
      <x:c r="L126" s="4"/>
      <x:c r="M126" s="4"/>
      <x:c r="N126" s="5"/>
    </x:row>
    <x:row r="127" ht="24" customHeight="1">
      <x:c r="A127" s="1" t="inlineStr">
        <x:is>
          <x:t xml:space="preserve">RESULT</x:t>
        </x:is>
      </x:c>
      <x:c r="B127" s="1" t="inlineStr">
        <x:is>
          <x:t xml:space="preserve">Round1</x:t>
        </x:is>
      </x:c>
      <x:c r="C127" s="1" t="inlineStr">
        <x:is>
          <x:t xml:space="preserve">Closure_153</x:t>
        </x:is>
      </x:c>
      <x:c r="D127" s="1" t="inlineStr">
        <x:is>
          <x:t xml:space="preserve">NOT_AVAILABLE</x:t>
        </x:is>
      </x:c>
      <x:c r="E127" s="5"/>
      <x:c r="F127" s="4">
        <x:v>0</x:v>
      </x:c>
      <x:c r="G127" s="4">
        <x:v>14605</x:v>
      </x:c>
      <x:c r="H127" s="6">
        <x:v>209.67</x:v>
      </x:c>
      <x:c r="I127" s="16">
        <x:v>1</x:v>
      </x:c>
      <x:c r="J127"/>
      <x:c r="K127" s="4"/>
      <x:c r="L127" s="4"/>
      <x:c r="M127" s="4"/>
      <x:c r="N127" s="5"/>
    </x:row>
    <x:row r="128" ht="24" customHeight="1">
      <x:c r="A128" s="1" t="inlineStr">
        <x:is>
          <x:t xml:space="preserve">RESULT</x:t>
        </x:is>
      </x:c>
      <x:c r="B128" s="1" t="inlineStr">
        <x:is>
          <x:t xml:space="preserve">Round1</x:t>
        </x:is>
      </x:c>
      <x:c r="C128" s="1" t="inlineStr">
        <x:is>
          <x:t xml:space="preserve">Closure_154</x:t>
        </x:is>
      </x:c>
      <x:c r="D128" s="1" t="inlineStr">
        <x:is>
          <x:t xml:space="preserve">NOT_AVAILABLE</x:t>
        </x:is>
      </x:c>
      <x:c r="E128" s="5"/>
      <x:c r="F128" s="4">
        <x:v>0</x:v>
      </x:c>
      <x:c r="G128" s="4">
        <x:v>25374</x:v>
      </x:c>
      <x:c r="H128" s="6">
        <x:v>219.47</x:v>
      </x:c>
      <x:c r="I128" s="16">
        <x:v>1</x:v>
      </x:c>
      <x:c r="J128"/>
      <x:c r="K128" s="4"/>
      <x:c r="L128" s="4"/>
      <x:c r="M128" s="4"/>
      <x:c r="N128" s="5"/>
    </x:row>
    <x:row r="129" ht="24" customHeight="1">
      <x:c r="A129" s="1" t="inlineStr">
        <x:is>
          <x:t xml:space="preserve">RESULT</x:t>
        </x:is>
      </x:c>
      <x:c r="B129" s="1" t="inlineStr">
        <x:is>
          <x:t xml:space="preserve">Round1</x:t>
        </x:is>
      </x:c>
      <x:c r="C129" s="1" t="inlineStr">
        <x:is>
          <x:t xml:space="preserve">Closure_155</x:t>
        </x:is>
      </x:c>
      <x:c r="D129" s="1" t="inlineStr">
        <x:is>
          <x:t xml:space="preserve">NOT_AVAILABLE</x:t>
        </x:is>
      </x:c>
      <x:c r="E129" s="5"/>
      <x:c r="F129" s="4">
        <x:v>0</x:v>
      </x:c>
      <x:c r="G129" s="4">
        <x:v>28109</x:v>
      </x:c>
      <x:c r="H129" s="6">
        <x:v>365.07</x:v>
      </x:c>
      <x:c r="I129" s="16">
        <x:v>1</x:v>
      </x:c>
      <x:c r="J129"/>
      <x:c r="K129" s="4"/>
      <x:c r="L129" s="4"/>
      <x:c r="M129" s="4"/>
      <x:c r="N129" s="5"/>
    </x:row>
    <x:row r="130" ht="24" customHeight="1">
      <x:c r="A130" s="1" t="inlineStr">
        <x:is>
          <x:t xml:space="preserve">RESULT</x:t>
        </x:is>
      </x:c>
      <x:c r="B130" s="1" t="inlineStr">
        <x:is>
          <x:t xml:space="preserve">Round1</x:t>
        </x:is>
      </x:c>
      <x:c r="C130" s="1" t="inlineStr">
        <x:is>
          <x:t xml:space="preserve">Closure_156</x:t>
        </x:is>
      </x:c>
      <x:c r="D130" s="1" t="inlineStr">
        <x:is>
          <x:t xml:space="preserve">NOT_AVAILABLE</x:t>
        </x:is>
      </x:c>
      <x:c r="E130" s="5"/>
      <x:c r="F130" s="4">
        <x:v>0</x:v>
      </x:c>
      <x:c r="G130" s="4">
        <x:v>7679</x:v>
      </x:c>
      <x:c r="H130" s="6">
        <x:v>58.59</x:v>
      </x:c>
      <x:c r="I130" s="16">
        <x:v>1</x:v>
      </x:c>
      <x:c r="J130"/>
      <x:c r="K130" s="4"/>
      <x:c r="L130" s="4"/>
      <x:c r="M130" s="4"/>
      <x:c r="N130" s="5"/>
    </x:row>
    <x:row r="131" ht="24" customHeight="1">
      <x:c r="A131" s="1" t="inlineStr">
        <x:is>
          <x:t xml:space="preserve">RESULT</x:t>
        </x:is>
      </x:c>
      <x:c r="B131" s="1" t="inlineStr">
        <x:is>
          <x:t xml:space="preserve">Round1</x:t>
        </x:is>
      </x:c>
      <x:c r="C131" s="1" t="inlineStr">
        <x:is>
          <x:t xml:space="preserve">Closure_157</x:t>
        </x:is>
      </x:c>
      <x:c r="D131" s="1" t="inlineStr">
        <x:is>
          <x:t xml:space="preserve">NOT_AVAILABLE</x:t>
        </x:is>
      </x:c>
      <x:c r="E131" s="5"/>
      <x:c r="F131" s="4">
        <x:v>0</x:v>
      </x:c>
      <x:c r="G131" s="4">
        <x:v>36892</x:v>
      </x:c>
      <x:c r="H131" s="6">
        <x:v>386.2</x:v>
      </x:c>
      <x:c r="I131" s="16">
        <x:v>1</x:v>
      </x:c>
      <x:c r="J131"/>
      <x:c r="K131" s="4"/>
      <x:c r="L131" s="4"/>
      <x:c r="M131" s="4"/>
      <x:c r="N131" s="5"/>
    </x:row>
    <x:row r="132" ht="24" customHeight="1">
      <x:c r="A132" s="1" t="inlineStr">
        <x:is>
          <x:t xml:space="preserve">RESULT</x:t>
        </x:is>
      </x:c>
      <x:c r="B132" s="1" t="inlineStr">
        <x:is>
          <x:t xml:space="preserve">Round1</x:t>
        </x:is>
      </x:c>
      <x:c r="C132" s="1" t="inlineStr">
        <x:is>
          <x:t xml:space="preserve">Closure_158</x:t>
        </x:is>
      </x:c>
      <x:c r="D132" s="1" t="inlineStr">
        <x:is>
          <x:t xml:space="preserve">NOT_AVAILABLE</x:t>
        </x:is>
      </x:c>
      <x:c r="E132" s="5"/>
      <x:c r="F132" s="4">
        <x:v>0</x:v>
      </x:c>
      <x:c r="G132" s="4">
        <x:v>24116</x:v>
      </x:c>
      <x:c r="H132" s="6">
        <x:v>168.64</x:v>
      </x:c>
      <x:c r="I132" s="16">
        <x:v>1</x:v>
      </x:c>
      <x:c r="J132"/>
      <x:c r="K132" s="4"/>
      <x:c r="L132" s="4"/>
      <x:c r="M132" s="4"/>
      <x:c r="N132" s="5"/>
    </x:row>
    <x:row r="133" ht="24" customHeight="1">
      <x:c r="A133" s="1" t="inlineStr">
        <x:is>
          <x:t xml:space="preserve">RESULT</x:t>
        </x:is>
      </x:c>
      <x:c r="B133" s="1" t="inlineStr">
        <x:is>
          <x:t xml:space="preserve">Round1</x:t>
        </x:is>
      </x:c>
      <x:c r="C133" s="1" t="inlineStr">
        <x:is>
          <x:t xml:space="preserve">Closure_159</x:t>
        </x:is>
      </x:c>
      <x:c r="D133" s="1" t="inlineStr">
        <x:is>
          <x:t xml:space="preserve">NOT_AVAILABLE</x:t>
        </x:is>
      </x:c>
      <x:c r="E133" s="5"/>
      <x:c r="F133" s="4">
        <x:v>0</x:v>
      </x:c>
      <x:c r="G133" s="4">
        <x:v>9716</x:v>
      </x:c>
      <x:c r="H133" s="6">
        <x:v>98.27</x:v>
      </x:c>
      <x:c r="I133" s="16">
        <x:v>1</x:v>
      </x:c>
      <x:c r="J133"/>
      <x:c r="K133" s="4"/>
      <x:c r="L133" s="4"/>
      <x:c r="M133" s="4"/>
      <x:c r="N133" s="5"/>
    </x:row>
    <x:row r="134" ht="24" customHeight="1">
      <x:c r="A134" s="1" t="inlineStr">
        <x:is>
          <x:t xml:space="preserve">RESULT</x:t>
        </x:is>
      </x:c>
      <x:c r="B134" s="1" t="inlineStr">
        <x:is>
          <x:t xml:space="preserve">Round1</x:t>
        </x:is>
      </x:c>
      <x:c r="C134" s="1" t="inlineStr">
        <x:is>
          <x:t xml:space="preserve">Closure_16</x:t>
        </x:is>
      </x:c>
      <x:c r="D134" s="1" t="inlineStr">
        <x:is>
          <x:t xml:space="preserve">NOT_AVAILABLE</x:t>
        </x:is>
      </x:c>
      <x:c r="E134" s="5"/>
      <x:c r="F134" s="4">
        <x:v>0</x:v>
      </x:c>
      <x:c r="G134" s="4">
        <x:v>7950</x:v>
      </x:c>
      <x:c r="H134" s="6">
        <x:v>94.51</x:v>
      </x:c>
      <x:c r="I134" s="16">
        <x:v>1</x:v>
      </x:c>
      <x:c r="J134"/>
      <x:c r="K134" s="4"/>
      <x:c r="L134" s="4"/>
      <x:c r="M134" s="4"/>
      <x:c r="N134" s="5"/>
    </x:row>
    <x:row r="135" ht="24" customHeight="1">
      <x:c r="A135" s="1" t="inlineStr">
        <x:is>
          <x:t xml:space="preserve">RESULT</x:t>
        </x:is>
      </x:c>
      <x:c r="B135" s="1" t="inlineStr">
        <x:is>
          <x:t xml:space="preserve">Round1</x:t>
        </x:is>
      </x:c>
      <x:c r="C135" s="1" t="inlineStr">
        <x:is>
          <x:t xml:space="preserve">Closure_160</x:t>
        </x:is>
      </x:c>
      <x:c r="D135" s="1" t="inlineStr">
        <x:is>
          <x:t xml:space="preserve">NOT_AVAILABLE</x:t>
        </x:is>
      </x:c>
      <x:c r="E135" s="5"/>
      <x:c r="F135" s="4">
        <x:v>0</x:v>
      </x:c>
      <x:c r="G135" s="4">
        <x:v>14228</x:v>
      </x:c>
      <x:c r="H135" s="6">
        <x:v>85.49</x:v>
      </x:c>
      <x:c r="I135" s="16">
        <x:v>1</x:v>
      </x:c>
      <x:c r="J135"/>
      <x:c r="K135" s="4"/>
      <x:c r="L135" s="4"/>
      <x:c r="M135" s="4"/>
      <x:c r="N135" s="5"/>
    </x:row>
    <x:row r="136" ht="24" customHeight="1">
      <x:c r="A136" s="1" t="inlineStr">
        <x:is>
          <x:t xml:space="preserve">RESULT</x:t>
        </x:is>
      </x:c>
      <x:c r="B136" s="1" t="inlineStr">
        <x:is>
          <x:t xml:space="preserve">Round1</x:t>
        </x:is>
      </x:c>
      <x:c r="C136" s="1" t="inlineStr">
        <x:is>
          <x:t xml:space="preserve">Closure_161</x:t>
        </x:is>
      </x:c>
      <x:c r="D136" s="1" t="inlineStr">
        <x:is>
          <x:t xml:space="preserve">INCONCLUSIVE</x:t>
        </x:is>
      </x:c>
      <x:c r="E136" s="5">
        <x:v>0.37420000000000003</x:v>
      </x:c>
      <x:c r="F136" s="4">
        <x:v>0</x:v>
      </x:c>
      <x:c r="G136" s="4">
        <x:v>15118</x:v>
      </x:c>
      <x:c r="H136" s="6">
        <x:v>155.58</x:v>
      </x:c>
      <x:c r="I136" s="16">
        <x:v>1</x:v>
      </x:c>
      <x:c r="J136">
        <x:v>636</x:v>
      </x:c>
      <x:c r="K136" s="4">
        <x:v>238</x:v>
      </x:c>
      <x:c r="L136" s="4">
        <x:v>498</x:v>
      </x:c>
      <x:c r="M136" s="4">
        <x:v>153</x:v>
      </x:c>
      <x:c r="N136" s="5">
        <x:v>0.3072</x:v>
      </x:c>
    </x:row>
    <x:row r="137" ht="24" customHeight="1">
      <x:c r="A137" s="1" t="inlineStr">
        <x:is>
          <x:t xml:space="preserve">RESULT</x:t>
        </x:is>
      </x:c>
      <x:c r="B137" s="1" t="inlineStr">
        <x:is>
          <x:t xml:space="preserve">Round1</x:t>
        </x:is>
      </x:c>
      <x:c r="C137" s="1" t="inlineStr">
        <x:is>
          <x:t xml:space="preserve">Closure_162</x:t>
        </x:is>
      </x:c>
      <x:c r="D137" s="1" t="inlineStr">
        <x:is>
          <x:t xml:space="preserve">NOT_AVAILABLE</x:t>
        </x:is>
      </x:c>
      <x:c r="E137" s="5"/>
      <x:c r="F137" s="4">
        <x:v>0</x:v>
      </x:c>
      <x:c r="G137" s="4">
        <x:v>14031</x:v>
      </x:c>
      <x:c r="H137" s="6">
        <x:v>140.25</x:v>
      </x:c>
      <x:c r="I137" s="16">
        <x:v>1</x:v>
      </x:c>
      <x:c r="J137"/>
      <x:c r="K137" s="4"/>
      <x:c r="L137" s="4"/>
      <x:c r="M137" s="4"/>
      <x:c r="N137" s="5"/>
    </x:row>
    <x:row r="138" ht="24" customHeight="1">
      <x:c r="A138" s="1" t="inlineStr">
        <x:is>
          <x:t xml:space="preserve">RESULT</x:t>
        </x:is>
      </x:c>
      <x:c r="B138" s="1" t="inlineStr">
        <x:is>
          <x:t xml:space="preserve">Round1</x:t>
        </x:is>
      </x:c>
      <x:c r="C138" s="1" t="inlineStr">
        <x:is>
          <x:t xml:space="preserve">Closure_163</x:t>
        </x:is>
      </x:c>
      <x:c r="D138" s="1" t="inlineStr">
        <x:is>
          <x:t xml:space="preserve">NOT_AVAILABLE</x:t>
        </x:is>
      </x:c>
      <x:c r="E138" s="5"/>
      <x:c r="F138" s="4">
        <x:v>0</x:v>
      </x:c>
      <x:c r="G138" s="4">
        <x:v>17134</x:v>
      </x:c>
      <x:c r="H138" s="6">
        <x:v>224.35</x:v>
      </x:c>
      <x:c r="I138" s="16">
        <x:v>1</x:v>
      </x:c>
      <x:c r="J138"/>
      <x:c r="K138" s="4"/>
      <x:c r="L138" s="4"/>
      <x:c r="M138" s="4"/>
      <x:c r="N138" s="5"/>
    </x:row>
    <x:row r="139" ht="24" customHeight="1">
      <x:c r="A139" s="1" t="inlineStr">
        <x:is>
          <x:t xml:space="preserve">RESULT</x:t>
        </x:is>
      </x:c>
      <x:c r="B139" s="1" t="inlineStr">
        <x:is>
          <x:t xml:space="preserve">Round1</x:t>
        </x:is>
      </x:c>
      <x:c r="C139" s="1" t="inlineStr">
        <x:is>
          <x:t xml:space="preserve">Closure_164</x:t>
        </x:is>
      </x:c>
      <x:c r="D139" s="1" t="inlineStr">
        <x:is>
          <x:t xml:space="preserve">NOT_AVAILABLE</x:t>
        </x:is>
      </x:c>
      <x:c r="E139" s="5"/>
      <x:c r="F139" s="4">
        <x:v>0</x:v>
      </x:c>
      <x:c r="G139" s="4">
        <x:v>5849</x:v>
      </x:c>
      <x:c r="H139" s="6">
        <x:v>77.36</x:v>
      </x:c>
      <x:c r="I139" s="16">
        <x:v>1</x:v>
      </x:c>
      <x:c r="J139"/>
      <x:c r="K139" s="4"/>
      <x:c r="L139" s="4"/>
      <x:c r="M139" s="4"/>
      <x:c r="N139" s="5"/>
    </x:row>
    <x:row r="140" ht="24" customHeight="1">
      <x:c r="A140" s="1" t="inlineStr">
        <x:is>
          <x:t xml:space="preserve">RESULT</x:t>
        </x:is>
      </x:c>
      <x:c r="B140" s="1" t="inlineStr">
        <x:is>
          <x:t xml:space="preserve">Round1</x:t>
        </x:is>
      </x:c>
      <x:c r="C140" s="1" t="inlineStr">
        <x:is>
          <x:t xml:space="preserve">Closure_165</x:t>
        </x:is>
      </x:c>
      <x:c r="D140" s="1" t="inlineStr">
        <x:is>
          <x:t xml:space="preserve">NOT_AVAILABLE</x:t>
        </x:is>
      </x:c>
      <x:c r="E140" s="5"/>
      <x:c r="F140" s="4">
        <x:v>0</x:v>
      </x:c>
      <x:c r="G140" s="4">
        <x:v>34072</x:v>
      </x:c>
      <x:c r="H140" s="6">
        <x:v>361.69</x:v>
      </x:c>
      <x:c r="I140" s="16">
        <x:v>1</x:v>
      </x:c>
      <x:c r="J140"/>
      <x:c r="K140" s="4"/>
      <x:c r="L140" s="4"/>
      <x:c r="M140" s="4"/>
      <x:c r="N140" s="5"/>
    </x:row>
    <x:row r="141" ht="24" customHeight="1">
      <x:c r="A141" s="1" t="inlineStr">
        <x:is>
          <x:t xml:space="preserve">RESULT</x:t>
        </x:is>
      </x:c>
      <x:c r="B141" s="1" t="inlineStr">
        <x:is>
          <x:t xml:space="preserve">Round1</x:t>
        </x:is>
      </x:c>
      <x:c r="C141" s="1" t="inlineStr">
        <x:is>
          <x:t xml:space="preserve">Closure_166</x:t>
        </x:is>
      </x:c>
      <x:c r="D141" s="1" t="inlineStr">
        <x:is>
          <x:t xml:space="preserve">NOT_AVAILABLE</x:t>
        </x:is>
      </x:c>
      <x:c r="E141" s="5"/>
      <x:c r="F141" s="4">
        <x:v>0</x:v>
      </x:c>
      <x:c r="G141" s="4">
        <x:v>8480</x:v>
      </x:c>
      <x:c r="H141" s="6">
        <x:v>99.89</x:v>
      </x:c>
      <x:c r="I141" s="16">
        <x:v>1</x:v>
      </x:c>
      <x:c r="J141"/>
      <x:c r="K141" s="4"/>
      <x:c r="L141" s="4"/>
      <x:c r="M141" s="4"/>
      <x:c r="N141" s="5"/>
    </x:row>
    <x:row r="142" ht="24" customHeight="1">
      <x:c r="A142" s="1" t="inlineStr">
        <x:is>
          <x:t xml:space="preserve">RESULT</x:t>
        </x:is>
      </x:c>
      <x:c r="B142" s="1" t="inlineStr">
        <x:is>
          <x:t xml:space="preserve">Round1</x:t>
        </x:is>
      </x:c>
      <x:c r="C142" s="1" t="inlineStr">
        <x:is>
          <x:t xml:space="preserve">Closure_167</x:t>
        </x:is>
      </x:c>
      <x:c r="D142" s="1" t="inlineStr">
        <x:is>
          <x:t xml:space="preserve">NOT_AVAILABLE</x:t>
        </x:is>
      </x:c>
      <x:c r="E142" s="5"/>
      <x:c r="F142" s="4">
        <x:v>0</x:v>
      </x:c>
      <x:c r="G142" s="4">
        <x:v>16944</x:v>
      </x:c>
      <x:c r="H142" s="6">
        <x:v>187.8</x:v>
      </x:c>
      <x:c r="I142" s="16">
        <x:v>1</x:v>
      </x:c>
      <x:c r="J142"/>
      <x:c r="K142" s="4"/>
      <x:c r="L142" s="4"/>
      <x:c r="M142" s="4"/>
      <x:c r="N142" s="5"/>
    </x:row>
    <x:row r="143" ht="24" customHeight="1">
      <x:c r="A143" s="1" t="inlineStr">
        <x:is>
          <x:t xml:space="preserve">RESULT</x:t>
        </x:is>
      </x:c>
      <x:c r="B143" s="1" t="inlineStr">
        <x:is>
          <x:t xml:space="preserve">Round1</x:t>
        </x:is>
      </x:c>
      <x:c r="C143" s="1" t="inlineStr">
        <x:is>
          <x:t xml:space="preserve">Closure_168</x:t>
        </x:is>
      </x:c>
      <x:c r="D143" s="1" t="inlineStr">
        <x:is>
          <x:t xml:space="preserve">NOT_AVAILABLE</x:t>
        </x:is>
      </x:c>
      <x:c r="E143" s="5"/>
      <x:c r="F143" s="4">
        <x:v>0</x:v>
      </x:c>
      <x:c r="G143" s="4">
        <x:v>17128</x:v>
      </x:c>
      <x:c r="H143" s="6">
        <x:v>116.14</x:v>
      </x:c>
      <x:c r="I143" s="16">
        <x:v>1</x:v>
      </x:c>
      <x:c r="J143"/>
      <x:c r="K143" s="4"/>
      <x:c r="L143" s="4"/>
      <x:c r="M143" s="4"/>
      <x:c r="N143" s="5"/>
    </x:row>
    <x:row r="144" ht="24" customHeight="1">
      <x:c r="A144" s="1" t="inlineStr">
        <x:is>
          <x:t xml:space="preserve">RESULT</x:t>
        </x:is>
      </x:c>
      <x:c r="B144" s="1" t="inlineStr">
        <x:is>
          <x:t xml:space="preserve">Round1</x:t>
        </x:is>
      </x:c>
      <x:c r="C144" s="1" t="inlineStr">
        <x:is>
          <x:t xml:space="preserve">Closure_169</x:t>
        </x:is>
      </x:c>
      <x:c r="D144" s="1" t="inlineStr">
        <x:is>
          <x:t xml:space="preserve">NOT_AVAILABLE</x:t>
        </x:is>
      </x:c>
      <x:c r="E144" s="5"/>
      <x:c r="F144" s="4">
        <x:v>0</x:v>
      </x:c>
      <x:c r="G144" s="4">
        <x:v>34336</x:v>
      </x:c>
      <x:c r="H144" s="6">
        <x:v>1124.17</x:v>
      </x:c>
      <x:c r="I144" s="16">
        <x:v>1</x:v>
      </x:c>
      <x:c r="J144"/>
      <x:c r="K144" s="4"/>
      <x:c r="L144" s="4"/>
      <x:c r="M144" s="4"/>
      <x:c r="N144" s="5"/>
    </x:row>
    <x:row r="145" ht="24" customHeight="1">
      <x:c r="A145" s="1" t="inlineStr">
        <x:is>
          <x:t xml:space="preserve">RESULT</x:t>
        </x:is>
      </x:c>
      <x:c r="B145" s="1" t="inlineStr">
        <x:is>
          <x:t xml:space="preserve">Round1</x:t>
        </x:is>
      </x:c>
      <x:c r="C145" s="1" t="inlineStr">
        <x:is>
          <x:t xml:space="preserve">Closure_17</x:t>
        </x:is>
      </x:c>
      <x:c r="D145" s="1" t="inlineStr">
        <x:is>
          <x:t xml:space="preserve">NOT_AVAILABLE</x:t>
        </x:is>
      </x:c>
      <x:c r="E145" s="5"/>
      <x:c r="F145" s="4">
        <x:v>0</x:v>
      </x:c>
      <x:c r="G145" s="4">
        <x:v>17585</x:v>
      </x:c>
      <x:c r="H145" s="6">
        <x:v>131.89</x:v>
      </x:c>
      <x:c r="I145" s="16">
        <x:v>1</x:v>
      </x:c>
      <x:c r="J145"/>
      <x:c r="K145" s="4"/>
      <x:c r="L145" s="4"/>
      <x:c r="M145" s="4"/>
      <x:c r="N145" s="5"/>
    </x:row>
    <x:row r="146" ht="24" customHeight="1">
      <x:c r="A146" s="1" t="inlineStr">
        <x:is>
          <x:t xml:space="preserve">RESULT</x:t>
        </x:is>
      </x:c>
      <x:c r="B146" s="1" t="inlineStr">
        <x:is>
          <x:t xml:space="preserve">Round1</x:t>
        </x:is>
      </x:c>
      <x:c r="C146" s="1" t="inlineStr">
        <x:is>
          <x:t xml:space="preserve">Closure_170</x:t>
        </x:is>
      </x:c>
      <x:c r="D146" s="1" t="inlineStr">
        <x:is>
          <x:t xml:space="preserve">NOT_AVAILABLE</x:t>
        </x:is>
      </x:c>
      <x:c r="E146" s="5"/>
      <x:c r="F146" s="4">
        <x:v>0</x:v>
      </x:c>
      <x:c r="G146" s="4">
        <x:v>7879</x:v>
      </x:c>
      <x:c r="H146" s="6">
        <x:v>72.85</x:v>
      </x:c>
      <x:c r="I146" s="16">
        <x:v>1</x:v>
      </x:c>
      <x:c r="J146"/>
      <x:c r="K146" s="4"/>
      <x:c r="L146" s="4"/>
      <x:c r="M146" s="4"/>
      <x:c r="N146" s="5"/>
    </x:row>
    <x:row r="147" ht="24" customHeight="1">
      <x:c r="A147" s="1" t="inlineStr">
        <x:is>
          <x:t xml:space="preserve">RESULT</x:t>
        </x:is>
      </x:c>
      <x:c r="B147" s="1" t="inlineStr">
        <x:is>
          <x:t xml:space="preserve">Round1</x:t>
        </x:is>
      </x:c>
      <x:c r="C147" s="1" t="inlineStr">
        <x:is>
          <x:t xml:space="preserve">Closure_171</x:t>
        </x:is>
      </x:c>
      <x:c r="D147" s="1" t="inlineStr">
        <x:is>
          <x:t xml:space="preserve">NOT_AVAILABLE</x:t>
        </x:is>
      </x:c>
      <x:c r="E147" s="5"/>
      <x:c r="F147" s="4">
        <x:v>0</x:v>
      </x:c>
      <x:c r="G147" s="4">
        <x:v>30386</x:v>
      </x:c>
      <x:c r="H147" s="6">
        <x:v>138.9</x:v>
      </x:c>
      <x:c r="I147" s="16">
        <x:v>1</x:v>
      </x:c>
      <x:c r="J147"/>
      <x:c r="K147" s="4"/>
      <x:c r="L147" s="4"/>
      <x:c r="M147" s="4"/>
      <x:c r="N147" s="5"/>
    </x:row>
    <x:row r="148" ht="24" customHeight="1">
      <x:c r="A148" s="1" t="inlineStr">
        <x:is>
          <x:t xml:space="preserve">RESULT</x:t>
        </x:is>
      </x:c>
      <x:c r="B148" s="1" t="inlineStr">
        <x:is>
          <x:t xml:space="preserve">Round1</x:t>
        </x:is>
      </x:c>
      <x:c r="C148" s="1" t="inlineStr">
        <x:is>
          <x:t xml:space="preserve">Closure_172</x:t>
        </x:is>
      </x:c>
      <x:c r="D148" s="1" t="inlineStr">
        <x:is>
          <x:t xml:space="preserve">INCONCLUSIVE</x:t>
        </x:is>
      </x:c>
      <x:c r="E148" s="5">
        <x:v>0.0</x:v>
      </x:c>
      <x:c r="F148" s="4">
        <x:v>0</x:v>
      </x:c>
      <x:c r="G148" s="4">
        <x:v>18627</x:v>
      </x:c>
      <x:c r="H148" s="6">
        <x:v>121.57</x:v>
      </x:c>
      <x:c r="I148" s="16">
        <x:v>1</x:v>
      </x:c>
      <x:c r="J148">
        <x:v>947</x:v>
      </x:c>
      <x:c r="K148" s="4">
        <x:v>0</x:v>
      </x:c>
      <x:c r="L148" s="4">
        <x:v>762</x:v>
      </x:c>
      <x:c r="M148" s="4">
        <x:v>0</x:v>
      </x:c>
      <x:c r="N148" s="5">
        <x:v>0.0</x:v>
      </x:c>
    </x:row>
    <x:row r="149" ht="24" customHeight="1">
      <x:c r="A149" s="1" t="inlineStr">
        <x:is>
          <x:t xml:space="preserve">RESULT</x:t>
        </x:is>
      </x:c>
      <x:c r="B149" s="1" t="inlineStr">
        <x:is>
          <x:t xml:space="preserve">Round1</x:t>
        </x:is>
      </x:c>
      <x:c r="C149" s="1" t="inlineStr">
        <x:is>
          <x:t xml:space="preserve">Closure_173</x:t>
        </x:is>
      </x:c>
      <x:c r="D149" s="1" t="inlineStr">
        <x:is>
          <x:t xml:space="preserve">NOT_AVAILABLE</x:t>
        </x:is>
      </x:c>
      <x:c r="E149" s="5"/>
      <x:c r="F149" s="4">
        <x:v>0</x:v>
      </x:c>
      <x:c r="G149" s="4">
        <x:v>23169</x:v>
      </x:c>
      <x:c r="H149" s="6">
        <x:v>240.06</x:v>
      </x:c>
      <x:c r="I149" s="16">
        <x:v>1</x:v>
      </x:c>
      <x:c r="J149"/>
      <x:c r="K149" s="4"/>
      <x:c r="L149" s="4"/>
      <x:c r="M149" s="4"/>
      <x:c r="N149" s="5"/>
    </x:row>
    <x:row r="150" ht="24" customHeight="1">
      <x:c r="A150" s="1" t="inlineStr">
        <x:is>
          <x:t xml:space="preserve">RESULT</x:t>
        </x:is>
      </x:c>
      <x:c r="B150" s="1" t="inlineStr">
        <x:is>
          <x:t xml:space="preserve">Round1</x:t>
        </x:is>
      </x:c>
      <x:c r="C150" s="1" t="inlineStr">
        <x:is>
          <x:t xml:space="preserve">Closure_174</x:t>
        </x:is>
      </x:c>
      <x:c r="D150" s="1" t="inlineStr">
        <x:is>
          <x:t xml:space="preserve">NOT_AVAILABLE</x:t>
        </x:is>
      </x:c>
      <x:c r="E150" s="5"/>
      <x:c r="F150" s="4">
        <x:v>0</x:v>
      </x:c>
      <x:c r="G150" s="4">
        <x:v>36452</x:v>
      </x:c>
      <x:c r="H150" s="6">
        <x:v>322.48</x:v>
      </x:c>
      <x:c r="I150" s="16">
        <x:v>1</x:v>
      </x:c>
      <x:c r="J150"/>
      <x:c r="K150" s="4"/>
      <x:c r="L150" s="4"/>
      <x:c r="M150" s="4"/>
      <x:c r="N150" s="5"/>
    </x:row>
    <x:row r="151" ht="24" customHeight="1">
      <x:c r="A151" s="1" t="inlineStr">
        <x:is>
          <x:t xml:space="preserve">RESULT</x:t>
        </x:is>
      </x:c>
      <x:c r="B151" s="1" t="inlineStr">
        <x:is>
          <x:t xml:space="preserve">Round1</x:t>
        </x:is>
      </x:c>
      <x:c r="C151" s="1" t="inlineStr">
        <x:is>
          <x:t xml:space="preserve">Closure_18</x:t>
        </x:is>
      </x:c>
      <x:c r="D151" s="1" t="inlineStr">
        <x:is>
          <x:t xml:space="preserve">NOT_AVAILABLE</x:t>
        </x:is>
      </x:c>
      <x:c r="E151" s="5"/>
      <x:c r="F151" s="4">
        <x:v>0</x:v>
      </x:c>
      <x:c r="G151" s="4">
        <x:v>17921</x:v>
      </x:c>
      <x:c r="H151" s="6">
        <x:v>96.34</x:v>
      </x:c>
      <x:c r="I151" s="16">
        <x:v>1</x:v>
      </x:c>
      <x:c r="J151"/>
      <x:c r="K151" s="4"/>
      <x:c r="L151" s="4"/>
      <x:c r="M151" s="4"/>
      <x:c r="N151" s="5"/>
    </x:row>
    <x:row r="152" ht="24" customHeight="1">
      <x:c r="A152" s="1" t="inlineStr">
        <x:is>
          <x:t xml:space="preserve">RESULT</x:t>
        </x:is>
      </x:c>
      <x:c r="B152" s="1" t="inlineStr">
        <x:is>
          <x:t xml:space="preserve">Round1</x:t>
        </x:is>
      </x:c>
      <x:c r="C152" s="1" t="inlineStr">
        <x:is>
          <x:t xml:space="preserve">Closure_19</x:t>
        </x:is>
      </x:c>
      <x:c r="D152" s="1" t="inlineStr">
        <x:is>
          <x:t xml:space="preserve">NOT_AVAILABLE</x:t>
        </x:is>
      </x:c>
      <x:c r="E152" s="5"/>
      <x:c r="F152" s="4">
        <x:v>0</x:v>
      </x:c>
      <x:c r="G152" s="4">
        <x:v>9171</x:v>
      </x:c>
      <x:c r="H152" s="6">
        <x:v>79.83</x:v>
      </x:c>
      <x:c r="I152" s="16">
        <x:v>1</x:v>
      </x:c>
      <x:c r="J152"/>
      <x:c r="K152" s="4"/>
      <x:c r="L152" s="4"/>
      <x:c r="M152" s="4"/>
      <x:c r="N152" s="5"/>
    </x:row>
    <x:row r="153" ht="24" customHeight="1">
      <x:c r="A153" s="1" t="inlineStr">
        <x:is>
          <x:t xml:space="preserve">RESULT</x:t>
        </x:is>
      </x:c>
      <x:c r="B153" s="1" t="inlineStr">
        <x:is>
          <x:t xml:space="preserve">Round1</x:t>
        </x:is>
      </x:c>
      <x:c r="C153" s="1" t="inlineStr">
        <x:is>
          <x:t xml:space="preserve">Closure_2</x:t>
        </x:is>
      </x:c>
      <x:c r="D153" s="1" t="inlineStr">
        <x:is>
          <x:t xml:space="preserve">NOT_AVAILABLE</x:t>
        </x:is>
      </x:c>
      <x:c r="E153" s="5"/>
      <x:c r="F153" s="4">
        <x:v>0</x:v>
      </x:c>
      <x:c r="G153" s="4">
        <x:v>20051</x:v>
      </x:c>
      <x:c r="H153" s="6">
        <x:v>166.29</x:v>
      </x:c>
      <x:c r="I153" s="16">
        <x:v>1</x:v>
      </x:c>
      <x:c r="J153"/>
      <x:c r="K153" s="4"/>
      <x:c r="L153" s="4"/>
      <x:c r="M153" s="4"/>
      <x:c r="N153" s="5"/>
    </x:row>
    <x:row r="154" ht="24" customHeight="1">
      <x:c r="A154" s="1" t="inlineStr">
        <x:is>
          <x:t xml:space="preserve">RESULT</x:t>
        </x:is>
      </x:c>
      <x:c r="B154" s="1" t="inlineStr">
        <x:is>
          <x:t xml:space="preserve">Round1</x:t>
        </x:is>
      </x:c>
      <x:c r="C154" s="1" t="inlineStr">
        <x:is>
          <x:t xml:space="preserve">Closure_20</x:t>
        </x:is>
      </x:c>
      <x:c r="D154" s="1" t="inlineStr">
        <x:is>
          <x:t xml:space="preserve">INCONCLUSIVE</x:t>
        </x:is>
      </x:c>
      <x:c r="E154" s="5">
        <x:v>0.0981</x:v>
      </x:c>
      <x:c r="F154" s="4">
        <x:v>0</x:v>
      </x:c>
      <x:c r="G154" s="4">
        <x:v>11724</x:v>
      </x:c>
      <x:c r="H154" s="6">
        <x:v>38.85</x:v>
      </x:c>
      <x:c r="I154" s="16">
        <x:v>1</x:v>
      </x:c>
      <x:c r="J154">
        <x:v>754</x:v>
      </x:c>
      <x:c r="K154" s="4">
        <x:v>74</x:v>
      </x:c>
      <x:c r="L154" s="4">
        <x:v>526</x:v>
      </x:c>
      <x:c r="M154" s="4">
        <x:v>32</x:v>
      </x:c>
      <x:c r="N154" s="5">
        <x:v>0.0608</x:v>
      </x:c>
    </x:row>
    <x:row r="155" ht="24" customHeight="1">
      <x:c r="A155" s="1" t="inlineStr">
        <x:is>
          <x:t xml:space="preserve">RESULT</x:t>
        </x:is>
      </x:c>
      <x:c r="B155" s="1" t="inlineStr">
        <x:is>
          <x:t xml:space="preserve">Round1</x:t>
        </x:is>
      </x:c>
      <x:c r="C155" s="1" t="inlineStr">
        <x:is>
          <x:t xml:space="preserve">Closure_21</x:t>
        </x:is>
      </x:c>
      <x:c r="D155" s="1" t="inlineStr">
        <x:is>
          <x:t xml:space="preserve">NOT_AVAILABLE</x:t>
        </x:is>
      </x:c>
      <x:c r="E155" s="5"/>
      <x:c r="F155" s="4">
        <x:v>0</x:v>
      </x:c>
      <x:c r="G155" s="4">
        <x:v>4552</x:v>
      </x:c>
      <x:c r="H155" s="6">
        <x:v>49.1</x:v>
      </x:c>
      <x:c r="I155" s="16">
        <x:v>1</x:v>
      </x:c>
      <x:c r="J155"/>
      <x:c r="K155" s="4"/>
      <x:c r="L155" s="4"/>
      <x:c r="M155" s="4"/>
      <x:c r="N155" s="5"/>
    </x:row>
    <x:row r="156" ht="24" customHeight="1">
      <x:c r="A156" s="1" t="inlineStr">
        <x:is>
          <x:t xml:space="preserve">RESULT</x:t>
        </x:is>
      </x:c>
      <x:c r="B156" s="1" t="inlineStr">
        <x:is>
          <x:t xml:space="preserve">Round1</x:t>
        </x:is>
      </x:c>
      <x:c r="C156" s="1" t="inlineStr">
        <x:is>
          <x:t xml:space="preserve">Closure_22</x:t>
        </x:is>
      </x:c>
      <x:c r="D156" s="1" t="inlineStr">
        <x:is>
          <x:t xml:space="preserve">NOT_AVAILABLE</x:t>
        </x:is>
      </x:c>
      <x:c r="E156" s="5"/>
      <x:c r="F156" s="4">
        <x:v>0</x:v>
      </x:c>
      <x:c r="G156" s="4">
        <x:v>4747</x:v>
      </x:c>
      <x:c r="H156" s="6">
        <x:v>53.69</x:v>
      </x:c>
      <x:c r="I156" s="16">
        <x:v>1</x:v>
      </x:c>
      <x:c r="J156"/>
      <x:c r="K156" s="4"/>
      <x:c r="L156" s="4"/>
      <x:c r="M156" s="4"/>
      <x:c r="N156" s="5"/>
    </x:row>
    <x:row r="157" ht="24" customHeight="1">
      <x:c r="A157" s="1" t="inlineStr">
        <x:is>
          <x:t xml:space="preserve">RESULT</x:t>
        </x:is>
      </x:c>
      <x:c r="B157" s="1" t="inlineStr">
        <x:is>
          <x:t xml:space="preserve">Round1</x:t>
        </x:is>
      </x:c>
      <x:c r="C157" s="1" t="inlineStr">
        <x:is>
          <x:t xml:space="preserve">Closure_23</x:t>
        </x:is>
      </x:c>
      <x:c r="D157" s="1" t="inlineStr">
        <x:is>
          <x:t xml:space="preserve">NOT_AVAILABLE</x:t>
        </x:is>
      </x:c>
      <x:c r="E157" s="5"/>
      <x:c r="F157" s="4">
        <x:v>0</x:v>
      </x:c>
      <x:c r="G157" s="4">
        <x:v>15239</x:v>
      </x:c>
      <x:c r="H157" s="6">
        <x:v>168.31</x:v>
      </x:c>
      <x:c r="I157" s="16">
        <x:v>1</x:v>
      </x:c>
      <x:c r="J157"/>
      <x:c r="K157" s="4"/>
      <x:c r="L157" s="4"/>
      <x:c r="M157" s="4"/>
      <x:c r="N157" s="5"/>
    </x:row>
    <x:row r="158" ht="24" customHeight="1">
      <x:c r="A158" s="1" t="inlineStr">
        <x:is>
          <x:t xml:space="preserve">RESULT</x:t>
        </x:is>
      </x:c>
      <x:c r="B158" s="1" t="inlineStr">
        <x:is>
          <x:t xml:space="preserve">Round1</x:t>
        </x:is>
      </x:c>
      <x:c r="C158" s="1" t="inlineStr">
        <x:is>
          <x:t xml:space="preserve">Closure_24</x:t>
        </x:is>
      </x:c>
      <x:c r="D158" s="1" t="inlineStr">
        <x:is>
          <x:t xml:space="preserve">NOT_AVAILABLE</x:t>
        </x:is>
      </x:c>
      <x:c r="E158" s="5"/>
      <x:c r="F158" s="4">
        <x:v>0</x:v>
      </x:c>
      <x:c r="G158" s="4">
        <x:v>6811</x:v>
      </x:c>
      <x:c r="H158" s="6">
        <x:v>72.37</x:v>
      </x:c>
      <x:c r="I158" s="16">
        <x:v>1</x:v>
      </x:c>
      <x:c r="J158"/>
      <x:c r="K158" s="4"/>
      <x:c r="L158" s="4"/>
      <x:c r="M158" s="4"/>
      <x:c r="N158" s="5"/>
    </x:row>
    <x:row r="159" ht="24" customHeight="1">
      <x:c r="A159" s="1" t="inlineStr">
        <x:is>
          <x:t xml:space="preserve">RESULT</x:t>
        </x:is>
      </x:c>
      <x:c r="B159" s="1" t="inlineStr">
        <x:is>
          <x:t xml:space="preserve">Round1</x:t>
        </x:is>
      </x:c>
      <x:c r="C159" s="1" t="inlineStr">
        <x:is>
          <x:t xml:space="preserve">Closure_25</x:t>
        </x:is>
      </x:c>
      <x:c r="D159" s="1" t="inlineStr">
        <x:is>
          <x:t xml:space="preserve">NOT_AVAILABLE</x:t>
        </x:is>
      </x:c>
      <x:c r="E159" s="5"/>
      <x:c r="F159" s="4">
        <x:v>0</x:v>
      </x:c>
      <x:c r="G159" s="4">
        <x:v>13852</x:v>
      </x:c>
      <x:c r="H159" s="6">
        <x:v>117.45</x:v>
      </x:c>
      <x:c r="I159" s="16">
        <x:v>1</x:v>
      </x:c>
      <x:c r="J159"/>
      <x:c r="K159" s="4"/>
      <x:c r="L159" s="4"/>
      <x:c r="M159" s="4"/>
      <x:c r="N159" s="5"/>
    </x:row>
    <x:row r="160" ht="24" customHeight="1">
      <x:c r="A160" s="1" t="inlineStr">
        <x:is>
          <x:t xml:space="preserve">RESULT</x:t>
        </x:is>
      </x:c>
      <x:c r="B160" s="1" t="inlineStr">
        <x:is>
          <x:t xml:space="preserve">Round1</x:t>
        </x:is>
      </x:c>
      <x:c r="C160" s="1" t="inlineStr">
        <x:is>
          <x:t xml:space="preserve">Closure_26</x:t>
        </x:is>
      </x:c>
      <x:c r="D160" s="1" t="inlineStr">
        <x:is>
          <x:t xml:space="preserve">NOT_AVAILABLE</x:t>
        </x:is>
      </x:c>
      <x:c r="E160" s="5"/>
      <x:c r="F160" s="4">
        <x:v>0</x:v>
      </x:c>
      <x:c r="G160" s="4">
        <x:v>5273</x:v>
      </x:c>
      <x:c r="H160" s="6">
        <x:v>56.65</x:v>
      </x:c>
      <x:c r="I160" s="16">
        <x:v>1</x:v>
      </x:c>
      <x:c r="J160"/>
      <x:c r="K160" s="4"/>
      <x:c r="L160" s="4"/>
      <x:c r="M160" s="4"/>
      <x:c r="N160" s="5"/>
    </x:row>
    <x:row r="161" ht="24" customHeight="1">
      <x:c r="A161" s="1" t="inlineStr">
        <x:is>
          <x:t xml:space="preserve">RESULT</x:t>
        </x:is>
      </x:c>
      <x:c r="B161" s="1" t="inlineStr">
        <x:is>
          <x:t xml:space="preserve">Round1</x:t>
        </x:is>
      </x:c>
      <x:c r="C161" s="1" t="inlineStr">
        <x:is>
          <x:t xml:space="preserve">Closure_27</x:t>
        </x:is>
      </x:c>
      <x:c r="D161" s="1" t="inlineStr">
        <x:is>
          <x:t xml:space="preserve">NOT_AVAILABLE</x:t>
        </x:is>
      </x:c>
      <x:c r="E161" s="5"/>
      <x:c r="F161" s="4">
        <x:v>0</x:v>
      </x:c>
      <x:c r="G161" s="4">
        <x:v>9908</x:v>
      </x:c>
      <x:c r="H161" s="6">
        <x:v>135.19</x:v>
      </x:c>
      <x:c r="I161" s="16">
        <x:v>1</x:v>
      </x:c>
      <x:c r="J161"/>
      <x:c r="K161" s="4"/>
      <x:c r="L161" s="4"/>
      <x:c r="M161" s="4"/>
      <x:c r="N161" s="5"/>
    </x:row>
    <x:row r="162" ht="24" customHeight="1">
      <x:c r="A162" s="1" t="inlineStr">
        <x:is>
          <x:t xml:space="preserve">RESULT</x:t>
        </x:is>
      </x:c>
      <x:c r="B162" s="1" t="inlineStr">
        <x:is>
          <x:t xml:space="preserve">Round1</x:t>
        </x:is>
      </x:c>
      <x:c r="C162" s="1" t="inlineStr">
        <x:is>
          <x:t xml:space="preserve">Closure_28</x:t>
        </x:is>
      </x:c>
      <x:c r="D162" s="1" t="inlineStr">
        <x:is>
          <x:t xml:space="preserve">NOT_AVAILABLE</x:t>
        </x:is>
      </x:c>
      <x:c r="E162" s="5"/>
      <x:c r="F162" s="4">
        <x:v>0</x:v>
      </x:c>
      <x:c r="G162" s="4">
        <x:v>3133</x:v>
      </x:c>
      <x:c r="H162" s="6">
        <x:v>38.49</x:v>
      </x:c>
      <x:c r="I162" s="16">
        <x:v>1</x:v>
      </x:c>
      <x:c r="J162"/>
      <x:c r="K162" s="4"/>
      <x:c r="L162" s="4"/>
      <x:c r="M162" s="4"/>
      <x:c r="N162" s="5"/>
    </x:row>
    <x:row r="163" ht="24" customHeight="1">
      <x:c r="A163" s="1" t="inlineStr">
        <x:is>
          <x:t xml:space="preserve">RESULT</x:t>
        </x:is>
      </x:c>
      <x:c r="B163" s="1" t="inlineStr">
        <x:is>
          <x:t xml:space="preserve">Round1</x:t>
        </x:is>
      </x:c>
      <x:c r="C163" s="1" t="inlineStr">
        <x:is>
          <x:t xml:space="preserve">Closure_29</x:t>
        </x:is>
      </x:c>
      <x:c r="D163" s="1" t="inlineStr">
        <x:is>
          <x:t xml:space="preserve">NOT_AVAILABLE</x:t>
        </x:is>
      </x:c>
      <x:c r="E163" s="5"/>
      <x:c r="F163" s="4">
        <x:v>0</x:v>
      </x:c>
      <x:c r="G163" s="4">
        <x:v>6703</x:v>
      </x:c>
      <x:c r="H163" s="6">
        <x:v>56.16</x:v>
      </x:c>
      <x:c r="I163" s="16">
        <x:v>1</x:v>
      </x:c>
      <x:c r="J163"/>
      <x:c r="K163" s="4"/>
      <x:c r="L163" s="4"/>
      <x:c r="M163" s="4"/>
      <x:c r="N163" s="5"/>
    </x:row>
    <x:row r="164" ht="24" customHeight="1">
      <x:c r="A164" s="1" t="inlineStr">
        <x:is>
          <x:t xml:space="preserve">RESULT</x:t>
        </x:is>
      </x:c>
      <x:c r="B164" s="1" t="inlineStr">
        <x:is>
          <x:t xml:space="preserve">Round1</x:t>
        </x:is>
      </x:c>
      <x:c r="C164" s="1" t="inlineStr">
        <x:is>
          <x:t xml:space="preserve">Closure_3</x:t>
        </x:is>
      </x:c>
      <x:c r="D164" s="1" t="inlineStr">
        <x:is>
          <x:t xml:space="preserve">NOT_AVAILABLE</x:t>
        </x:is>
      </x:c>
      <x:c r="E164" s="5"/>
      <x:c r="F164" s="4">
        <x:v>0</x:v>
      </x:c>
      <x:c r="G164" s="4">
        <x:v>8091</x:v>
      </x:c>
      <x:c r="H164" s="6">
        <x:v>82.02</x:v>
      </x:c>
      <x:c r="I164" s="16">
        <x:v>1</x:v>
      </x:c>
      <x:c r="J164"/>
      <x:c r="K164" s="4"/>
      <x:c r="L164" s="4"/>
      <x:c r="M164" s="4"/>
      <x:c r="N164" s="5"/>
    </x:row>
    <x:row r="165" ht="24" customHeight="1">
      <x:c r="A165" s="1" t="inlineStr">
        <x:is>
          <x:t xml:space="preserve">RESULT</x:t>
        </x:is>
      </x:c>
      <x:c r="B165" s="1" t="inlineStr">
        <x:is>
          <x:t xml:space="preserve">Round1</x:t>
        </x:is>
      </x:c>
      <x:c r="C165" s="1" t="inlineStr">
        <x:is>
          <x:t xml:space="preserve">Closure_30</x:t>
        </x:is>
      </x:c>
      <x:c r="D165" s="1" t="inlineStr">
        <x:is>
          <x:t xml:space="preserve">NOT_AVAILABLE</x:t>
        </x:is>
      </x:c>
      <x:c r="E165" s="5"/>
      <x:c r="F165" s="4">
        <x:v>0</x:v>
      </x:c>
      <x:c r="G165" s="4">
        <x:v>14693</x:v>
      </x:c>
      <x:c r="H165" s="6">
        <x:v>165.08</x:v>
      </x:c>
      <x:c r="I165" s="16">
        <x:v>1</x:v>
      </x:c>
      <x:c r="J165"/>
      <x:c r="K165" s="4"/>
      <x:c r="L165" s="4"/>
      <x:c r="M165" s="4"/>
      <x:c r="N165" s="5"/>
    </x:row>
    <x:row r="166" ht="24" customHeight="1">
      <x:c r="A166" s="1" t="inlineStr">
        <x:is>
          <x:t xml:space="preserve">RESULT</x:t>
        </x:is>
      </x:c>
      <x:c r="B166" s="1" t="inlineStr">
        <x:is>
          <x:t xml:space="preserve">Round1</x:t>
        </x:is>
      </x:c>
      <x:c r="C166" s="1" t="inlineStr">
        <x:is>
          <x:t xml:space="preserve">Closure_31</x:t>
        </x:is>
      </x:c>
      <x:c r="D166" s="1" t="inlineStr">
        <x:is>
          <x:t xml:space="preserve">NOT_AVAILABLE</x:t>
        </x:is>
      </x:c>
      <x:c r="E166" s="5"/>
      <x:c r="F166" s="4">
        <x:v>0</x:v>
      </x:c>
      <x:c r="G166" s="4">
        <x:v>16996</x:v>
      </x:c>
      <x:c r="H166" s="6">
        <x:v>81.93</x:v>
      </x:c>
      <x:c r="I166" s="16">
        <x:v>1</x:v>
      </x:c>
      <x:c r="J166"/>
      <x:c r="K166" s="4"/>
      <x:c r="L166" s="4"/>
      <x:c r="M166" s="4"/>
      <x:c r="N166" s="5"/>
    </x:row>
    <x:row r="167" ht="24" customHeight="1">
      <x:c r="A167" s="1" t="inlineStr">
        <x:is>
          <x:t xml:space="preserve">RESULT</x:t>
        </x:is>
      </x:c>
      <x:c r="B167" s="1" t="inlineStr">
        <x:is>
          <x:t xml:space="preserve">Round1</x:t>
        </x:is>
      </x:c>
      <x:c r="C167" s="1" t="inlineStr">
        <x:is>
          <x:t xml:space="preserve">Closure_32</x:t>
        </x:is>
      </x:c>
      <x:c r="D167" s="1" t="inlineStr">
        <x:is>
          <x:t xml:space="preserve">NOT_AVAILABLE</x:t>
        </x:is>
      </x:c>
      <x:c r="E167" s="5"/>
      <x:c r="F167" s="4">
        <x:v>0</x:v>
      </x:c>
      <x:c r="G167" s="4">
        <x:v>15857</x:v>
      </x:c>
      <x:c r="H167" s="6">
        <x:v>70.92</x:v>
      </x:c>
      <x:c r="I167" s="16">
        <x:v>1</x:v>
      </x:c>
      <x:c r="J167"/>
      <x:c r="K167" s="4"/>
      <x:c r="L167" s="4"/>
      <x:c r="M167" s="4"/>
      <x:c r="N167" s="5"/>
    </x:row>
    <x:row r="168" ht="24" customHeight="1">
      <x:c r="A168" s="1" t="inlineStr">
        <x:is>
          <x:t xml:space="preserve">RESULT</x:t>
        </x:is>
      </x:c>
      <x:c r="B168" s="1" t="inlineStr">
        <x:is>
          <x:t xml:space="preserve">Round1</x:t>
        </x:is>
      </x:c>
      <x:c r="C168" s="1" t="inlineStr">
        <x:is>
          <x:t xml:space="preserve">Closure_33</x:t>
        </x:is>
      </x:c>
      <x:c r="D168" s="1" t="inlineStr">
        <x:is>
          <x:t xml:space="preserve">NOT_AVAILABLE</x:t>
        </x:is>
      </x:c>
      <x:c r="E168" s="5"/>
      <x:c r="F168" s="4">
        <x:v>0</x:v>
      </x:c>
      <x:c r="G168" s="4">
        <x:v>7162</x:v>
      </x:c>
      <x:c r="H168" s="6">
        <x:v>55.84</x:v>
      </x:c>
      <x:c r="I168" s="16">
        <x:v>1</x:v>
      </x:c>
      <x:c r="J168"/>
      <x:c r="K168" s="4"/>
      <x:c r="L168" s="4"/>
      <x:c r="M168" s="4"/>
      <x:c r="N168" s="5"/>
    </x:row>
    <x:row r="169" ht="24" customHeight="1">
      <x:c r="A169" s="1" t="inlineStr">
        <x:is>
          <x:t xml:space="preserve">RESULT</x:t>
        </x:is>
      </x:c>
      <x:c r="B169" s="1" t="inlineStr">
        <x:is>
          <x:t xml:space="preserve">Round1</x:t>
        </x:is>
      </x:c>
      <x:c r="C169" s="1" t="inlineStr">
        <x:is>
          <x:t xml:space="preserve">Closure_34</x:t>
        </x:is>
      </x:c>
      <x:c r="D169" s="1" t="inlineStr">
        <x:is>
          <x:t xml:space="preserve">NOT_AVAILABLE</x:t>
        </x:is>
      </x:c>
      <x:c r="E169" s="5"/>
      <x:c r="F169" s="4">
        <x:v>0</x:v>
      </x:c>
      <x:c r="G169" s="4">
        <x:v>17221</x:v>
      </x:c>
      <x:c r="H169" s="6">
        <x:v>84.88</x:v>
      </x:c>
      <x:c r="I169" s="16">
        <x:v>1</x:v>
      </x:c>
      <x:c r="J169"/>
      <x:c r="K169" s="4"/>
      <x:c r="L169" s="4"/>
      <x:c r="M169" s="4"/>
      <x:c r="N169" s="5"/>
    </x:row>
    <x:row r="170" ht="24" customHeight="1">
      <x:c r="A170" s="1" t="inlineStr">
        <x:is>
          <x:t xml:space="preserve">RESULT</x:t>
        </x:is>
      </x:c>
      <x:c r="B170" s="1" t="inlineStr">
        <x:is>
          <x:t xml:space="preserve">Round1</x:t>
        </x:is>
      </x:c>
      <x:c r="C170" s="1" t="inlineStr">
        <x:is>
          <x:t xml:space="preserve">Closure_35</x:t>
        </x:is>
      </x:c>
      <x:c r="D170" s="1" t="inlineStr">
        <x:is>
          <x:t xml:space="preserve">NOT_AVAILABLE</x:t>
        </x:is>
      </x:c>
      <x:c r="E170" s="5"/>
      <x:c r="F170" s="4">
        <x:v>0</x:v>
      </x:c>
      <x:c r="G170" s="4">
        <x:v>11787</x:v>
      </x:c>
      <x:c r="H170" s="6">
        <x:v>47.47</x:v>
      </x:c>
      <x:c r="I170" s="16">
        <x:v>1</x:v>
      </x:c>
      <x:c r="J170"/>
      <x:c r="K170" s="4"/>
      <x:c r="L170" s="4"/>
      <x:c r="M170" s="4"/>
      <x:c r="N170" s="5"/>
    </x:row>
    <x:row r="171" ht="24" customHeight="1">
      <x:c r="A171" s="1" t="inlineStr">
        <x:is>
          <x:t xml:space="preserve">RESULT</x:t>
        </x:is>
      </x:c>
      <x:c r="B171" s="1" t="inlineStr">
        <x:is>
          <x:t xml:space="preserve">Round1</x:t>
        </x:is>
      </x:c>
      <x:c r="C171" s="1" t="inlineStr">
        <x:is>
          <x:t xml:space="preserve">Closure_36</x:t>
        </x:is>
      </x:c>
      <x:c r="D171" s="1" t="inlineStr">
        <x:is>
          <x:t xml:space="preserve">NOT_AVAILABLE</x:t>
        </x:is>
      </x:c>
      <x:c r="E171" s="5"/>
      <x:c r="F171" s="4">
        <x:v>0</x:v>
      </x:c>
      <x:c r="G171" s="4">
        <x:v>8915</x:v>
      </x:c>
      <x:c r="H171" s="6">
        <x:v>128.67</x:v>
      </x:c>
      <x:c r="I171" s="16">
        <x:v>1</x:v>
      </x:c>
      <x:c r="J171"/>
      <x:c r="K171" s="4"/>
      <x:c r="L171" s="4"/>
      <x:c r="M171" s="4"/>
      <x:c r="N171" s="5"/>
    </x:row>
    <x:row r="172" ht="24" customHeight="1">
      <x:c r="A172" s="1" t="inlineStr">
        <x:is>
          <x:t xml:space="preserve">RESULT</x:t>
        </x:is>
      </x:c>
      <x:c r="B172" s="1" t="inlineStr">
        <x:is>
          <x:t xml:space="preserve">Round1</x:t>
        </x:is>
      </x:c>
      <x:c r="C172" s="1" t="inlineStr">
        <x:is>
          <x:t xml:space="preserve">Closure_37</x:t>
        </x:is>
      </x:c>
      <x:c r="D172" s="1" t="inlineStr">
        <x:is>
          <x:t xml:space="preserve">NOT_AVAILABLE</x:t>
        </x:is>
      </x:c>
      <x:c r="E172" s="5"/>
      <x:c r="F172" s="4">
        <x:v>0</x:v>
      </x:c>
      <x:c r="G172" s="4">
        <x:v>26024</x:v>
      </x:c>
      <x:c r="H172" s="6">
        <x:v>287.73</x:v>
      </x:c>
      <x:c r="I172" s="16">
        <x:v>1</x:v>
      </x:c>
      <x:c r="J172"/>
      <x:c r="K172" s="4"/>
      <x:c r="L172" s="4"/>
      <x:c r="M172" s="4"/>
      <x:c r="N172" s="5"/>
    </x:row>
    <x:row r="173" ht="24" customHeight="1">
      <x:c r="A173" s="1" t="inlineStr">
        <x:is>
          <x:t xml:space="preserve">RESULT</x:t>
        </x:is>
      </x:c>
      <x:c r="B173" s="1" t="inlineStr">
        <x:is>
          <x:t xml:space="preserve">Round1</x:t>
        </x:is>
      </x:c>
      <x:c r="C173" s="1" t="inlineStr">
        <x:is>
          <x:t xml:space="preserve">Closure_38</x:t>
        </x:is>
      </x:c>
      <x:c r="D173" s="1" t="inlineStr">
        <x:is>
          <x:t xml:space="preserve">INCONCLUSIVE</x:t>
        </x:is>
      </x:c>
      <x:c r="E173" s="5">
        <x:v>0.6875</x:v>
      </x:c>
      <x:c r="F173" s="4">
        <x:v>0</x:v>
      </x:c>
      <x:c r="G173" s="4">
        <x:v>4356</x:v>
      </x:c>
      <x:c r="H173" s="6">
        <x:v>43.42</x:v>
      </x:c>
      <x:c r="I173" s="16">
        <x:v>1</x:v>
      </x:c>
      <x:c r="J173">
        <x:v>112</x:v>
      </x:c>
      <x:c r="K173" s="4">
        <x:v>77</x:v>
      </x:c>
      <x:c r="L173" s="4">
        <x:v>64</x:v>
      </x:c>
      <x:c r="M173" s="4">
        <x:v>43</x:v>
      </x:c>
      <x:c r="N173" s="5">
        <x:v>0.6718999999999999</x:v>
      </x:c>
    </x:row>
    <x:row r="174" ht="24" customHeight="1">
      <x:c r="A174" s="1" t="inlineStr">
        <x:is>
          <x:t xml:space="preserve">RESULT</x:t>
        </x:is>
      </x:c>
      <x:c r="B174" s="1" t="inlineStr">
        <x:is>
          <x:t xml:space="preserve">Round1</x:t>
        </x:is>
      </x:c>
      <x:c r="C174" s="1" t="inlineStr">
        <x:is>
          <x:t xml:space="preserve">Closure_39</x:t>
        </x:is>
      </x:c>
      <x:c r="D174" s="1" t="inlineStr">
        <x:is>
          <x:t xml:space="preserve">NOT_AVAILABLE</x:t>
        </x:is>
      </x:c>
      <x:c r="E174" s="5"/>
      <x:c r="F174" s="4">
        <x:v>0</x:v>
      </x:c>
      <x:c r="G174" s="4">
        <x:v>8420</x:v>
      </x:c>
      <x:c r="H174" s="6">
        <x:v>100.98</x:v>
      </x:c>
      <x:c r="I174" s="16">
        <x:v>1</x:v>
      </x:c>
      <x:c r="J174"/>
      <x:c r="K174" s="4"/>
      <x:c r="L174" s="4"/>
      <x:c r="M174" s="4"/>
      <x:c r="N174" s="5"/>
    </x:row>
    <x:row r="175" ht="24" customHeight="1">
      <x:c r="A175" s="1" t="inlineStr">
        <x:is>
          <x:t xml:space="preserve">RESULT</x:t>
        </x:is>
      </x:c>
      <x:c r="B175" s="1" t="inlineStr">
        <x:is>
          <x:t xml:space="preserve">Round1</x:t>
        </x:is>
      </x:c>
      <x:c r="C175" s="1" t="inlineStr">
        <x:is>
          <x:t xml:space="preserve">Closure_4</x:t>
        </x:is>
      </x:c>
      <x:c r="D175" s="1" t="inlineStr">
        <x:is>
          <x:t xml:space="preserve">NOT_AVAILABLE</x:t>
        </x:is>
      </x:c>
      <x:c r="E175" s="5"/>
      <x:c r="F175" s="4">
        <x:v>0</x:v>
      </x:c>
      <x:c r="G175" s="4">
        <x:v>7048</x:v>
      </x:c>
      <x:c r="H175" s="6">
        <x:v>81.66</x:v>
      </x:c>
      <x:c r="I175" s="16">
        <x:v>1</x:v>
      </x:c>
      <x:c r="J175"/>
      <x:c r="K175" s="4"/>
      <x:c r="L175" s="4"/>
      <x:c r="M175" s="4"/>
      <x:c r="N175" s="5"/>
    </x:row>
    <x:row r="176" ht="24" customHeight="1">
      <x:c r="A176" s="1" t="inlineStr">
        <x:is>
          <x:t xml:space="preserve">RESULT</x:t>
        </x:is>
      </x:c>
      <x:c r="B176" s="1" t="inlineStr">
        <x:is>
          <x:t xml:space="preserve">Round1</x:t>
        </x:is>
      </x:c>
      <x:c r="C176" s="1" t="inlineStr">
        <x:is>
          <x:t xml:space="preserve">Closure_40</x:t>
        </x:is>
      </x:c>
      <x:c r="D176" s="1" t="inlineStr">
        <x:is>
          <x:t xml:space="preserve">NOT_AVAILABLE</x:t>
        </x:is>
      </x:c>
      <x:c r="E176" s="5"/>
      <x:c r="F176" s="4">
        <x:v>0</x:v>
      </x:c>
      <x:c r="G176" s="4">
        <x:v>12780</x:v>
      </x:c>
      <x:c r="H176" s="6">
        <x:v>79.61</x:v>
      </x:c>
      <x:c r="I176" s="16">
        <x:v>1</x:v>
      </x:c>
      <x:c r="J176"/>
      <x:c r="K176" s="4"/>
      <x:c r="L176" s="4"/>
      <x:c r="M176" s="4"/>
      <x:c r="N176" s="5"/>
    </x:row>
    <x:row r="177" ht="24" customHeight="1">
      <x:c r="A177" s="1" t="inlineStr">
        <x:is>
          <x:t xml:space="preserve">RESULT</x:t>
        </x:is>
      </x:c>
      <x:c r="B177" s="1" t="inlineStr">
        <x:is>
          <x:t xml:space="preserve">Round1</x:t>
        </x:is>
      </x:c>
      <x:c r="C177" s="1" t="inlineStr">
        <x:is>
          <x:t xml:space="preserve">Closure_41</x:t>
        </x:is>
      </x:c>
      <x:c r="D177" s="1" t="inlineStr">
        <x:is>
          <x:t xml:space="preserve">NOT_AVAILABLE</x:t>
        </x:is>
      </x:c>
      <x:c r="E177" s="5"/>
      <x:c r="F177" s="4">
        <x:v>0</x:v>
      </x:c>
      <x:c r="G177" s="4">
        <x:v>7572</x:v>
      </x:c>
      <x:c r="H177" s="6">
        <x:v>41.79</x:v>
      </x:c>
      <x:c r="I177" s="16">
        <x:v>1</x:v>
      </x:c>
      <x:c r="J177"/>
      <x:c r="K177" s="4"/>
      <x:c r="L177" s="4"/>
      <x:c r="M177" s="4"/>
      <x:c r="N177" s="5"/>
    </x:row>
    <x:row r="178" ht="24" customHeight="1">
      <x:c r="A178" s="1" t="inlineStr">
        <x:is>
          <x:t xml:space="preserve">RESULT</x:t>
        </x:is>
      </x:c>
      <x:c r="B178" s="1" t="inlineStr">
        <x:is>
          <x:t xml:space="preserve">Round1</x:t>
        </x:is>
      </x:c>
      <x:c r="C178" s="1" t="inlineStr">
        <x:is>
          <x:t xml:space="preserve">Closure_42</x:t>
        </x:is>
      </x:c>
      <x:c r="D178" s="1" t="inlineStr">
        <x:is>
          <x:t xml:space="preserve">NOT_AVAILABLE</x:t>
        </x:is>
      </x:c>
      <x:c r="E178" s="5"/>
      <x:c r="F178" s="4">
        <x:v>0</x:v>
      </x:c>
      <x:c r="G178" s="4">
        <x:v>15236</x:v>
      </x:c>
      <x:c r="H178" s="6">
        <x:v>131.48</x:v>
      </x:c>
      <x:c r="I178" s="16">
        <x:v>1</x:v>
      </x:c>
      <x:c r="J178"/>
      <x:c r="K178" s="4"/>
      <x:c r="L178" s="4"/>
      <x:c r="M178" s="4"/>
      <x:c r="N178" s="5"/>
    </x:row>
    <x:row r="179" ht="24" customHeight="1">
      <x:c r="A179" s="1" t="inlineStr">
        <x:is>
          <x:t xml:space="preserve">RESULT</x:t>
        </x:is>
      </x:c>
      <x:c r="B179" s="1" t="inlineStr">
        <x:is>
          <x:t xml:space="preserve">Round1</x:t>
        </x:is>
      </x:c>
      <x:c r="C179" s="1" t="inlineStr">
        <x:is>
          <x:t xml:space="preserve">Closure_43</x:t>
        </x:is>
      </x:c>
      <x:c r="D179" s="1" t="inlineStr">
        <x:is>
          <x:t xml:space="preserve">NOT_AVAILABLE</x:t>
        </x:is>
      </x:c>
      <x:c r="E179" s="5"/>
      <x:c r="F179" s="4">
        <x:v>0</x:v>
      </x:c>
      <x:c r="G179" s="4">
        <x:v>15352</x:v>
      </x:c>
      <x:c r="H179" s="6">
        <x:v>66.68</x:v>
      </x:c>
      <x:c r="I179" s="16">
        <x:v>1</x:v>
      </x:c>
      <x:c r="J179"/>
      <x:c r="K179" s="4"/>
      <x:c r="L179" s="4"/>
      <x:c r="M179" s="4"/>
      <x:c r="N179" s="5"/>
    </x:row>
    <x:row r="180" ht="24" customHeight="1">
      <x:c r="A180" s="1" t="inlineStr">
        <x:is>
          <x:t xml:space="preserve">RESULT</x:t>
        </x:is>
      </x:c>
      <x:c r="B180" s="1" t="inlineStr">
        <x:is>
          <x:t xml:space="preserve">Round1</x:t>
        </x:is>
      </x:c>
      <x:c r="C180" s="1" t="inlineStr">
        <x:is>
          <x:t xml:space="preserve">Closure_44</x:t>
        </x:is>
      </x:c>
      <x:c r="D180" s="1" t="inlineStr">
        <x:is>
          <x:t xml:space="preserve">INCONCLUSIVE</x:t>
        </x:is>
      </x:c>
      <x:c r="E180" s="5">
        <x:v>0.8349</x:v>
      </x:c>
      <x:c r="F180" s="4">
        <x:v>0</x:v>
      </x:c>
      <x:c r="G180" s="4">
        <x:v>5117</x:v>
      </x:c>
      <x:c r="H180" s="6">
        <x:v>66.75</x:v>
      </x:c>
      <x:c r="I180" s="16">
        <x:v>1</x:v>
      </x:c>
      <x:c r="J180">
        <x:v>109</x:v>
      </x:c>
      <x:c r="K180" s="4">
        <x:v>91</x:v>
      </x:c>
      <x:c r="L180" s="4">
        <x:v>60</x:v>
      </x:c>
      <x:c r="M180" s="4">
        <x:v>53</x:v>
      </x:c>
      <x:c r="N180" s="5">
        <x:v>0.8833</x:v>
      </x:c>
    </x:row>
    <x:row r="181" ht="24" customHeight="1">
      <x:c r="A181" s="1" t="inlineStr">
        <x:is>
          <x:t xml:space="preserve">RESULT</x:t>
        </x:is>
      </x:c>
      <x:c r="B181" s="1" t="inlineStr">
        <x:is>
          <x:t xml:space="preserve">Round1</x:t>
        </x:is>
      </x:c>
      <x:c r="C181" s="1" t="inlineStr">
        <x:is>
          <x:t xml:space="preserve">Closure_45</x:t>
        </x:is>
      </x:c>
      <x:c r="D181" s="1" t="inlineStr">
        <x:is>
          <x:t xml:space="preserve">NOT_AVAILABLE</x:t>
        </x:is>
      </x:c>
      <x:c r="E181" s="5"/>
      <x:c r="F181" s="4">
        <x:v>0</x:v>
      </x:c>
      <x:c r="G181" s="4">
        <x:v>7472</x:v>
      </x:c>
      <x:c r="H181" s="6">
        <x:v>54.21</x:v>
      </x:c>
      <x:c r="I181" s="16">
        <x:v>1</x:v>
      </x:c>
      <x:c r="J181"/>
      <x:c r="K181" s="4"/>
      <x:c r="L181" s="4"/>
      <x:c r="M181" s="4"/>
      <x:c r="N181" s="5"/>
    </x:row>
    <x:row r="182" ht="24" customHeight="1">
      <x:c r="A182" s="1" t="inlineStr">
        <x:is>
          <x:t xml:space="preserve">RESULT</x:t>
        </x:is>
      </x:c>
      <x:c r="B182" s="1" t="inlineStr">
        <x:is>
          <x:t xml:space="preserve">Round1</x:t>
        </x:is>
      </x:c>
      <x:c r="C182" s="1" t="inlineStr">
        <x:is>
          <x:t xml:space="preserve">Closure_46</x:t>
        </x:is>
      </x:c>
      <x:c r="D182" s="1" t="inlineStr">
        <x:is>
          <x:t xml:space="preserve">NOT_AVAILABLE</x:t>
        </x:is>
      </x:c>
      <x:c r="E182" s="5"/>
      <x:c r="F182" s="4">
        <x:v>0</x:v>
      </x:c>
      <x:c r="G182" s="4">
        <x:v>6718</x:v>
      </x:c>
      <x:c r="H182" s="6">
        <x:v>91.84</x:v>
      </x:c>
      <x:c r="I182" s="16">
        <x:v>1</x:v>
      </x:c>
      <x:c r="J182"/>
      <x:c r="K182" s="4"/>
      <x:c r="L182" s="4"/>
      <x:c r="M182" s="4"/>
      <x:c r="N182" s="5"/>
    </x:row>
    <x:row r="183" ht="24" customHeight="1">
      <x:c r="A183" s="1" t="inlineStr">
        <x:is>
          <x:t xml:space="preserve">RESULT</x:t>
        </x:is>
      </x:c>
      <x:c r="B183" s="1" t="inlineStr">
        <x:is>
          <x:t xml:space="preserve">Round1</x:t>
        </x:is>
      </x:c>
      <x:c r="C183" s="1" t="inlineStr">
        <x:is>
          <x:t xml:space="preserve">Closure_47</x:t>
        </x:is>
      </x:c>
      <x:c r="D183" s="1" t="inlineStr">
        <x:is>
          <x:t xml:space="preserve">NOT_AVAILABLE</x:t>
        </x:is>
      </x:c>
      <x:c r="E183" s="5"/>
      <x:c r="F183" s="4">
        <x:v>0</x:v>
      </x:c>
      <x:c r="G183" s="4">
        <x:v>12522</x:v>
      </x:c>
      <x:c r="H183" s="6">
        <x:v>118.75</x:v>
      </x:c>
      <x:c r="I183" s="16">
        <x:v>1</x:v>
      </x:c>
      <x:c r="J183"/>
      <x:c r="K183" s="4"/>
      <x:c r="L183" s="4"/>
      <x:c r="M183" s="4"/>
      <x:c r="N183" s="5"/>
    </x:row>
    <x:row r="184" ht="24" customHeight="1">
      <x:c r="A184" s="1" t="inlineStr">
        <x:is>
          <x:t xml:space="preserve">RESULT</x:t>
        </x:is>
      </x:c>
      <x:c r="B184" s="1" t="inlineStr">
        <x:is>
          <x:t xml:space="preserve">Round1</x:t>
        </x:is>
      </x:c>
      <x:c r="C184" s="1" t="inlineStr">
        <x:is>
          <x:t xml:space="preserve">Closure_48</x:t>
        </x:is>
      </x:c>
      <x:c r="D184" s="1" t="inlineStr">
        <x:is>
          <x:t xml:space="preserve">NOT_AVAILABLE</x:t>
        </x:is>
      </x:c>
      <x:c r="E184" s="5"/>
      <x:c r="F184" s="4">
        <x:v>0</x:v>
      </x:c>
      <x:c r="G184" s="4">
        <x:v>15692</x:v>
      </x:c>
      <x:c r="H184" s="6">
        <x:v>81.07</x:v>
      </x:c>
      <x:c r="I184" s="16">
        <x:v>1</x:v>
      </x:c>
      <x:c r="J184"/>
      <x:c r="K184" s="4"/>
      <x:c r="L184" s="4"/>
      <x:c r="M184" s="4"/>
      <x:c r="N184" s="5"/>
    </x:row>
    <x:row r="185" ht="24" customHeight="1">
      <x:c r="A185" s="1" t="inlineStr">
        <x:is>
          <x:t xml:space="preserve">RESULT</x:t>
        </x:is>
      </x:c>
      <x:c r="B185" s="1" t="inlineStr">
        <x:is>
          <x:t xml:space="preserve">Round1</x:t>
        </x:is>
      </x:c>
      <x:c r="C185" s="1" t="inlineStr">
        <x:is>
          <x:t xml:space="preserve">Closure_49</x:t>
        </x:is>
      </x:c>
      <x:c r="D185" s="1" t="inlineStr">
        <x:is>
          <x:t xml:space="preserve">NOT_AVAILABLE</x:t>
        </x:is>
      </x:c>
      <x:c r="E185" s="5"/>
      <x:c r="F185" s="4">
        <x:v>0</x:v>
      </x:c>
      <x:c r="G185" s="4">
        <x:v>6820</x:v>
      </x:c>
      <x:c r="H185" s="6">
        <x:v>47.09</x:v>
      </x:c>
      <x:c r="I185" s="16">
        <x:v>1</x:v>
      </x:c>
      <x:c r="J185"/>
      <x:c r="K185" s="4"/>
      <x:c r="L185" s="4"/>
      <x:c r="M185" s="4"/>
      <x:c r="N185" s="5"/>
    </x:row>
    <x:row r="186" ht="24" customHeight="1">
      <x:c r="A186" s="1" t="inlineStr">
        <x:is>
          <x:t xml:space="preserve">RESULT</x:t>
        </x:is>
      </x:c>
      <x:c r="B186" s="1" t="inlineStr">
        <x:is>
          <x:t xml:space="preserve">Round1</x:t>
        </x:is>
      </x:c>
      <x:c r="C186" s="1" t="inlineStr">
        <x:is>
          <x:t xml:space="preserve">Closure_5</x:t>
        </x:is>
      </x:c>
      <x:c r="D186" s="1" t="inlineStr">
        <x:is>
          <x:t xml:space="preserve">NOT_AVAILABLE</x:t>
        </x:is>
      </x:c>
      <x:c r="E186" s="5"/>
      <x:c r="F186" s="4">
        <x:v>0</x:v>
      </x:c>
      <x:c r="G186" s="4">
        <x:v>8233</x:v>
      </x:c>
      <x:c r="H186" s="6">
        <x:v>100.69</x:v>
      </x:c>
      <x:c r="I186" s="16">
        <x:v>1</x:v>
      </x:c>
      <x:c r="J186"/>
      <x:c r="K186" s="4"/>
      <x:c r="L186" s="4"/>
      <x:c r="M186" s="4"/>
      <x:c r="N186" s="5"/>
    </x:row>
    <x:row r="187" ht="24" customHeight="1">
      <x:c r="A187" s="1" t="inlineStr">
        <x:is>
          <x:t xml:space="preserve">RESULT</x:t>
        </x:is>
      </x:c>
      <x:c r="B187" s="1" t="inlineStr">
        <x:is>
          <x:t xml:space="preserve">Round1</x:t>
        </x:is>
      </x:c>
      <x:c r="C187" s="1" t="inlineStr">
        <x:is>
          <x:t xml:space="preserve">Closure_50</x:t>
        </x:is>
      </x:c>
      <x:c r="D187" s="1" t="inlineStr">
        <x:is>
          <x:t xml:space="preserve">INCONCLUSIVE</x:t>
        </x:is>
      </x:c>
      <x:c r="E187" s="5">
        <x:v>0.5227</x:v>
      </x:c>
      <x:c r="F187" s="4">
        <x:v>0</x:v>
      </x:c>
      <x:c r="G187" s="4">
        <x:v>10111</x:v>
      </x:c>
      <x:c r="H187" s="6">
        <x:v>129.59</x:v>
      </x:c>
      <x:c r="I187" s="16">
        <x:v>1</x:v>
      </x:c>
      <x:c r="J187">
        <x:v>308</x:v>
      </x:c>
      <x:c r="K187" s="4">
        <x:v>161</x:v>
      </x:c>
      <x:c r="L187" s="4">
        <x:v>245</x:v>
      </x:c>
      <x:c r="M187" s="4">
        <x:v>102</x:v>
      </x:c>
      <x:c r="N187" s="5">
        <x:v>0.4163</x:v>
      </x:c>
    </x:row>
    <x:row r="188" ht="24" customHeight="1">
      <x:c r="A188" s="1" t="inlineStr">
        <x:is>
          <x:t xml:space="preserve">RESULT</x:t>
        </x:is>
      </x:c>
      <x:c r="B188" s="1" t="inlineStr">
        <x:is>
          <x:t xml:space="preserve">Round1</x:t>
        </x:is>
      </x:c>
      <x:c r="C188" s="1" t="inlineStr">
        <x:is>
          <x:t xml:space="preserve">Closure_51</x:t>
        </x:is>
      </x:c>
      <x:c r="D188" s="1" t="inlineStr">
        <x:is>
          <x:t xml:space="preserve">NOT_AVAILABLE</x:t>
        </x:is>
      </x:c>
      <x:c r="E188" s="5"/>
      <x:c r="F188" s="4">
        <x:v>0</x:v>
      </x:c>
      <x:c r="G188" s="4">
        <x:v>6142</x:v>
      </x:c>
      <x:c r="H188" s="6">
        <x:v>106.96</x:v>
      </x:c>
      <x:c r="I188" s="16">
        <x:v>1</x:v>
      </x:c>
      <x:c r="J188"/>
      <x:c r="K188" s="4"/>
      <x:c r="L188" s="4"/>
      <x:c r="M188" s="4"/>
      <x:c r="N188" s="5"/>
    </x:row>
    <x:row r="189" ht="24" customHeight="1">
      <x:c r="A189" s="1" t="inlineStr">
        <x:is>
          <x:t xml:space="preserve">RESULT</x:t>
        </x:is>
      </x:c>
      <x:c r="B189" s="1" t="inlineStr">
        <x:is>
          <x:t xml:space="preserve">Round1</x:t>
        </x:is>
      </x:c>
      <x:c r="C189" s="1" t="inlineStr">
        <x:is>
          <x:t xml:space="preserve">Closure_52</x:t>
        </x:is>
      </x:c>
      <x:c r="D189" s="1" t="inlineStr">
        <x:is>
          <x:t xml:space="preserve">NOT_AVAILABLE</x:t>
        </x:is>
      </x:c>
      <x:c r="E189" s="5"/>
      <x:c r="F189" s="4">
        <x:v>0</x:v>
      </x:c>
      <x:c r="G189" s="4">
        <x:v>12512</x:v>
      </x:c>
      <x:c r="H189" s="6">
        <x:v>138.98</x:v>
      </x:c>
      <x:c r="I189" s="16">
        <x:v>1</x:v>
      </x:c>
      <x:c r="J189"/>
      <x:c r="K189" s="4"/>
      <x:c r="L189" s="4"/>
      <x:c r="M189" s="4"/>
      <x:c r="N189" s="5"/>
    </x:row>
    <x:row r="190" ht="24" customHeight="1">
      <x:c r="A190" s="1" t="inlineStr">
        <x:is>
          <x:t xml:space="preserve">RESULT</x:t>
        </x:is>
      </x:c>
      <x:c r="B190" s="1" t="inlineStr">
        <x:is>
          <x:t xml:space="preserve">Round1</x:t>
        </x:is>
      </x:c>
      <x:c r="C190" s="1" t="inlineStr">
        <x:is>
          <x:t xml:space="preserve">Closure_53</x:t>
        </x:is>
      </x:c>
      <x:c r="D190" s="1" t="inlineStr">
        <x:is>
          <x:t xml:space="preserve">NOT_AVAILABLE</x:t>
        </x:is>
      </x:c>
      <x:c r="E190" s="5"/>
      <x:c r="F190" s="4">
        <x:v>0</x:v>
      </x:c>
      <x:c r="G190" s="4">
        <x:v>8068</x:v>
      </x:c>
      <x:c r="H190" s="6">
        <x:v>104.22</x:v>
      </x:c>
      <x:c r="I190" s="16">
        <x:v>1</x:v>
      </x:c>
      <x:c r="J190"/>
      <x:c r="K190" s="4"/>
      <x:c r="L190" s="4"/>
      <x:c r="M190" s="4"/>
      <x:c r="N190" s="5"/>
    </x:row>
    <x:row r="191" ht="24" customHeight="1">
      <x:c r="A191" s="1" t="inlineStr">
        <x:is>
          <x:t xml:space="preserve">RESULT</x:t>
        </x:is>
      </x:c>
      <x:c r="B191" s="1" t="inlineStr">
        <x:is>
          <x:t xml:space="preserve">Round1</x:t>
        </x:is>
      </x:c>
      <x:c r="C191" s="1" t="inlineStr">
        <x:is>
          <x:t xml:space="preserve">Closure_54</x:t>
        </x:is>
      </x:c>
      <x:c r="D191" s="1" t="inlineStr">
        <x:is>
          <x:t xml:space="preserve">NOT_AVAILABLE</x:t>
        </x:is>
      </x:c>
      <x:c r="E191" s="5"/>
      <x:c r="F191" s="4">
        <x:v>0</x:v>
      </x:c>
      <x:c r="G191" s="4">
        <x:v>27187</x:v>
      </x:c>
      <x:c r="H191" s="6">
        <x:v>276.86</x:v>
      </x:c>
      <x:c r="I191" s="16">
        <x:v>1</x:v>
      </x:c>
      <x:c r="J191"/>
      <x:c r="K191" s="4"/>
      <x:c r="L191" s="4"/>
      <x:c r="M191" s="4"/>
      <x:c r="N191" s="5"/>
    </x:row>
    <x:row r="192" ht="24" customHeight="1">
      <x:c r="A192" s="1" t="inlineStr">
        <x:is>
          <x:t xml:space="preserve">RESULT</x:t>
        </x:is>
      </x:c>
      <x:c r="B192" s="1" t="inlineStr">
        <x:is>
          <x:t xml:space="preserve">Round1</x:t>
        </x:is>
      </x:c>
      <x:c r="C192" s="1" t="inlineStr">
        <x:is>
          <x:t xml:space="preserve">Closure_55</x:t>
        </x:is>
      </x:c>
      <x:c r="D192" s="1" t="inlineStr">
        <x:is>
          <x:t xml:space="preserve">NOT_AVAILABLE</x:t>
        </x:is>
      </x:c>
      <x:c r="E192" s="5"/>
      <x:c r="F192" s="4">
        <x:v>0</x:v>
      </x:c>
      <x:c r="G192" s="4">
        <x:v>8032</x:v>
      </x:c>
      <x:c r="H192" s="6">
        <x:v>100.96</x:v>
      </x:c>
      <x:c r="I192" s="16">
        <x:v>1</x:v>
      </x:c>
      <x:c r="J192"/>
      <x:c r="K192" s="4"/>
      <x:c r="L192" s="4"/>
      <x:c r="M192" s="4"/>
      <x:c r="N192" s="5"/>
    </x:row>
    <x:row r="193" ht="24" customHeight="1">
      <x:c r="A193" s="1" t="inlineStr">
        <x:is>
          <x:t xml:space="preserve">RESULT</x:t>
        </x:is>
      </x:c>
      <x:c r="B193" s="1" t="inlineStr">
        <x:is>
          <x:t xml:space="preserve">Round1</x:t>
        </x:is>
      </x:c>
      <x:c r="C193" s="1" t="inlineStr">
        <x:is>
          <x:t xml:space="preserve">Closure_56</x:t>
        </x:is>
      </x:c>
      <x:c r="D193" s="1" t="inlineStr">
        <x:is>
          <x:t xml:space="preserve">NOT_AVAILABLE</x:t>
        </x:is>
      </x:c>
      <x:c r="E193" s="5"/>
      <x:c r="F193" s="4">
        <x:v>0</x:v>
      </x:c>
      <x:c r="G193" s="4">
        <x:v>7407</x:v>
      </x:c>
      <x:c r="H193" s="6">
        <x:v>88.29</x:v>
      </x:c>
      <x:c r="I193" s="16">
        <x:v>1</x:v>
      </x:c>
      <x:c r="J193"/>
      <x:c r="K193" s="4"/>
      <x:c r="L193" s="4"/>
      <x:c r="M193" s="4"/>
      <x:c r="N193" s="5"/>
    </x:row>
    <x:row r="194" ht="24" customHeight="1">
      <x:c r="A194" s="1" t="inlineStr">
        <x:is>
          <x:t xml:space="preserve">RESULT</x:t>
        </x:is>
      </x:c>
      <x:c r="B194" s="1" t="inlineStr">
        <x:is>
          <x:t xml:space="preserve">Round1</x:t>
        </x:is>
      </x:c>
      <x:c r="C194" s="1" t="inlineStr">
        <x:is>
          <x:t xml:space="preserve">Closure_57</x:t>
        </x:is>
      </x:c>
      <x:c r="D194" s="1" t="inlineStr">
        <x:is>
          <x:t xml:space="preserve">NOT_AVAILABLE</x:t>
        </x:is>
      </x:c>
      <x:c r="E194" s="5"/>
      <x:c r="F194" s="4">
        <x:v>0</x:v>
      </x:c>
      <x:c r="G194" s="4">
        <x:v>7481</x:v>
      </x:c>
      <x:c r="H194" s="6">
        <x:v>101.6</x:v>
      </x:c>
      <x:c r="I194" s="16">
        <x:v>1</x:v>
      </x:c>
      <x:c r="J194"/>
      <x:c r="K194" s="4"/>
      <x:c r="L194" s="4"/>
      <x:c r="M194" s="4"/>
      <x:c r="N194" s="5"/>
    </x:row>
    <x:row r="195" ht="24" customHeight="1">
      <x:c r="A195" s="1" t="inlineStr">
        <x:is>
          <x:t xml:space="preserve">RESULT</x:t>
        </x:is>
      </x:c>
      <x:c r="B195" s="1" t="inlineStr">
        <x:is>
          <x:t xml:space="preserve">Round1</x:t>
        </x:is>
      </x:c>
      <x:c r="C195" s="1" t="inlineStr">
        <x:is>
          <x:t xml:space="preserve">Closure_58</x:t>
        </x:is>
      </x:c>
      <x:c r="D195" s="1" t="inlineStr">
        <x:is>
          <x:t xml:space="preserve">NOT_AVAILABLE</x:t>
        </x:is>
      </x:c>
      <x:c r="E195" s="5"/>
      <x:c r="F195" s="4">
        <x:v>0</x:v>
      </x:c>
      <x:c r="G195" s="4">
        <x:v>11676</x:v>
      </x:c>
      <x:c r="H195" s="6">
        <x:v>250.28</x:v>
      </x:c>
      <x:c r="I195" s="16">
        <x:v>1</x:v>
      </x:c>
      <x:c r="J195"/>
      <x:c r="K195" s="4"/>
      <x:c r="L195" s="4"/>
      <x:c r="M195" s="4"/>
      <x:c r="N195" s="5"/>
    </x:row>
    <x:row r="196" ht="24" customHeight="1">
      <x:c r="A196" s="1" t="inlineStr">
        <x:is>
          <x:t xml:space="preserve">RESULT</x:t>
        </x:is>
      </x:c>
      <x:c r="B196" s="1" t="inlineStr">
        <x:is>
          <x:t xml:space="preserve">Round1</x:t>
        </x:is>
      </x:c>
      <x:c r="C196" s="1" t="inlineStr">
        <x:is>
          <x:t xml:space="preserve">Closure_59</x:t>
        </x:is>
      </x:c>
      <x:c r="D196" s="1" t="inlineStr">
        <x:is>
          <x:t xml:space="preserve">NOT_AVAILABLE</x:t>
        </x:is>
      </x:c>
      <x:c r="E196" s="5"/>
      <x:c r="F196" s="4">
        <x:v>0</x:v>
      </x:c>
      <x:c r="G196" s="4">
        <x:v>15934</x:v>
      </x:c>
      <x:c r="H196" s="6">
        <x:v>125.64</x:v>
      </x:c>
      <x:c r="I196" s="16">
        <x:v>1</x:v>
      </x:c>
      <x:c r="J196"/>
      <x:c r="K196" s="4"/>
      <x:c r="L196" s="4"/>
      <x:c r="M196" s="4"/>
      <x:c r="N196" s="5"/>
    </x:row>
    <x:row r="197" ht="24" customHeight="1">
      <x:c r="A197" s="1" t="inlineStr">
        <x:is>
          <x:t xml:space="preserve">RESULT</x:t>
        </x:is>
      </x:c>
      <x:c r="B197" s="1" t="inlineStr">
        <x:is>
          <x:t xml:space="preserve">Round1</x:t>
        </x:is>
      </x:c>
      <x:c r="C197" s="1" t="inlineStr">
        <x:is>
          <x:t xml:space="preserve">Closure_6</x:t>
        </x:is>
      </x:c>
      <x:c r="D197" s="1" t="inlineStr">
        <x:is>
          <x:t xml:space="preserve">NOT_AVAILABLE</x:t>
        </x:is>
      </x:c>
      <x:c r="E197" s="5"/>
      <x:c r="F197" s="4">
        <x:v>0</x:v>
      </x:c>
      <x:c r="G197" s="4">
        <x:v>9214</x:v>
      </x:c>
      <x:c r="H197" s="6">
        <x:v>110.52</x:v>
      </x:c>
      <x:c r="I197" s="16">
        <x:v>1</x:v>
      </x:c>
      <x:c r="J197"/>
      <x:c r="K197" s="4"/>
      <x:c r="L197" s="4"/>
      <x:c r="M197" s="4"/>
      <x:c r="N197" s="5"/>
    </x:row>
    <x:row r="198" ht="24" customHeight="1">
      <x:c r="A198" s="1" t="inlineStr">
        <x:is>
          <x:t xml:space="preserve">RESULT</x:t>
        </x:is>
      </x:c>
      <x:c r="B198" s="1" t="inlineStr">
        <x:is>
          <x:t xml:space="preserve">Round1</x:t>
        </x:is>
      </x:c>
      <x:c r="C198" s="1" t="inlineStr">
        <x:is>
          <x:t xml:space="preserve">Closure_60</x:t>
        </x:is>
      </x:c>
      <x:c r="D198" s="1" t="inlineStr">
        <x:is>
          <x:t xml:space="preserve">NOT_AVAILABLE</x:t>
        </x:is>
      </x:c>
      <x:c r="E198" s="5"/>
      <x:c r="F198" s="4">
        <x:v>0</x:v>
      </x:c>
      <x:c r="G198" s="4">
        <x:v>20426</x:v>
      </x:c>
      <x:c r="H198" s="6">
        <x:v>180.46</x:v>
      </x:c>
      <x:c r="I198" s="16">
        <x:v>1</x:v>
      </x:c>
      <x:c r="J198"/>
      <x:c r="K198" s="4"/>
      <x:c r="L198" s="4"/>
      <x:c r="M198" s="4"/>
      <x:c r="N198" s="5"/>
    </x:row>
    <x:row r="199" ht="24" customHeight="1">
      <x:c r="A199" s="1" t="inlineStr">
        <x:is>
          <x:t xml:space="preserve">RESULT</x:t>
        </x:is>
      </x:c>
      <x:c r="B199" s="1" t="inlineStr">
        <x:is>
          <x:t xml:space="preserve">Round1</x:t>
        </x:is>
      </x:c>
      <x:c r="C199" s="1" t="inlineStr">
        <x:is>
          <x:t xml:space="preserve">Closure_61</x:t>
        </x:is>
      </x:c>
      <x:c r="D199" s="1" t="inlineStr">
        <x:is>
          <x:t xml:space="preserve">NOT_AVAILABLE</x:t>
        </x:is>
      </x:c>
      <x:c r="E199" s="5"/>
      <x:c r="F199" s="4">
        <x:v>0</x:v>
      </x:c>
      <x:c r="G199" s="4">
        <x:v>20022</x:v>
      </x:c>
      <x:c r="H199" s="6">
        <x:v>165.15</x:v>
      </x:c>
      <x:c r="I199" s="16">
        <x:v>1</x:v>
      </x:c>
      <x:c r="J199"/>
      <x:c r="K199" s="4"/>
      <x:c r="L199" s="4"/>
      <x:c r="M199" s="4"/>
      <x:c r="N199" s="5"/>
    </x:row>
    <x:row r="200" ht="24" customHeight="1">
      <x:c r="A200" s="1" t="inlineStr">
        <x:is>
          <x:t xml:space="preserve">RESULT</x:t>
        </x:is>
      </x:c>
      <x:c r="B200" s="1" t="inlineStr">
        <x:is>
          <x:t xml:space="preserve">Round1</x:t>
        </x:is>
      </x:c>
      <x:c r="C200" s="1" t="inlineStr">
        <x:is>
          <x:t xml:space="preserve">Closure_62</x:t>
        </x:is>
      </x:c>
      <x:c r="D200" s="1" t="inlineStr">
        <x:is>
          <x:t xml:space="preserve">NOT_AVAILABLE</x:t>
        </x:is>
      </x:c>
      <x:c r="E200" s="5"/>
      <x:c r="F200" s="4">
        <x:v>0</x:v>
      </x:c>
      <x:c r="G200" s="4">
        <x:v>3771</x:v>
      </x:c>
      <x:c r="H200" s="6">
        <x:v>56.24</x:v>
      </x:c>
      <x:c r="I200" s="16">
        <x:v>1</x:v>
      </x:c>
      <x:c r="J200"/>
      <x:c r="K200" s="4"/>
      <x:c r="L200" s="4"/>
      <x:c r="M200" s="4"/>
      <x:c r="N200" s="5"/>
    </x:row>
    <x:row r="201" ht="24" customHeight="1">
      <x:c r="A201" s="1" t="inlineStr">
        <x:is>
          <x:t xml:space="preserve">RESULT</x:t>
        </x:is>
      </x:c>
      <x:c r="B201" s="1" t="inlineStr">
        <x:is>
          <x:t xml:space="preserve">Round1</x:t>
        </x:is>
      </x:c>
      <x:c r="C201" s="1" t="inlineStr">
        <x:is>
          <x:t xml:space="preserve">Closure_64</x:t>
        </x:is>
      </x:c>
      <x:c r="D201" s="1" t="inlineStr">
        <x:is>
          <x:t xml:space="preserve">NOT_AVAILABLE</x:t>
        </x:is>
      </x:c>
      <x:c r="E201" s="5"/>
      <x:c r="F201" s="4">
        <x:v>0</x:v>
      </x:c>
      <x:c r="G201" s="4">
        <x:v>18998</x:v>
      </x:c>
      <x:c r="H201" s="6">
        <x:v>177.92</x:v>
      </x:c>
      <x:c r="I201" s="16">
        <x:v>1</x:v>
      </x:c>
      <x:c r="J201"/>
      <x:c r="K201" s="4"/>
      <x:c r="L201" s="4"/>
      <x:c r="M201" s="4"/>
      <x:c r="N201" s="5"/>
    </x:row>
    <x:row r="202" ht="24" customHeight="1">
      <x:c r="A202" s="1" t="inlineStr">
        <x:is>
          <x:t xml:space="preserve">RESULT</x:t>
        </x:is>
      </x:c>
      <x:c r="B202" s="1" t="inlineStr">
        <x:is>
          <x:t xml:space="preserve">Round1</x:t>
        </x:is>
      </x:c>
      <x:c r="C202" s="1" t="inlineStr">
        <x:is>
          <x:t xml:space="preserve">Closure_65</x:t>
        </x:is>
      </x:c>
      <x:c r="D202" s="1" t="inlineStr">
        <x:is>
          <x:t xml:space="preserve">NOT_AVAILABLE</x:t>
        </x:is>
      </x:c>
      <x:c r="E202" s="5"/>
      <x:c r="F202" s="4">
        <x:v>0</x:v>
      </x:c>
      <x:c r="G202" s="4">
        <x:v>15563</x:v>
      </x:c>
      <x:c r="H202" s="6">
        <x:v>301.08</x:v>
      </x:c>
      <x:c r="I202" s="16">
        <x:v>1</x:v>
      </x:c>
      <x:c r="J202"/>
      <x:c r="K202" s="4"/>
      <x:c r="L202" s="4"/>
      <x:c r="M202" s="4"/>
      <x:c r="N202" s="5"/>
    </x:row>
    <x:row r="203" ht="24" customHeight="1">
      <x:c r="A203" s="1" t="inlineStr">
        <x:is>
          <x:t xml:space="preserve">RESULT</x:t>
        </x:is>
      </x:c>
      <x:c r="B203" s="1" t="inlineStr">
        <x:is>
          <x:t xml:space="preserve">Round1</x:t>
        </x:is>
      </x:c>
      <x:c r="C203" s="1" t="inlineStr">
        <x:is>
          <x:t xml:space="preserve">Closure_66</x:t>
        </x:is>
      </x:c>
      <x:c r="D203" s="1" t="inlineStr">
        <x:is>
          <x:t xml:space="preserve">NOT_AVAILABLE</x:t>
        </x:is>
      </x:c>
      <x:c r="E203" s="5"/>
      <x:c r="F203" s="4">
        <x:v>0</x:v>
      </x:c>
      <x:c r="G203" s="4">
        <x:v>15518</x:v>
      </x:c>
      <x:c r="H203" s="6">
        <x:v>81.0</x:v>
      </x:c>
      <x:c r="I203" s="16">
        <x:v>1</x:v>
      </x:c>
      <x:c r="J203"/>
      <x:c r="K203" s="4"/>
      <x:c r="L203" s="4"/>
      <x:c r="M203" s="4"/>
      <x:c r="N203" s="5"/>
    </x:row>
    <x:row r="204" ht="24" customHeight="1">
      <x:c r="A204" s="1" t="inlineStr">
        <x:is>
          <x:t xml:space="preserve">RESULT</x:t>
        </x:is>
      </x:c>
      <x:c r="B204" s="1" t="inlineStr">
        <x:is>
          <x:t xml:space="preserve">Round1</x:t>
        </x:is>
      </x:c>
      <x:c r="C204" s="1" t="inlineStr">
        <x:is>
          <x:t xml:space="preserve">Closure_67</x:t>
        </x:is>
      </x:c>
      <x:c r="D204" s="1" t="inlineStr">
        <x:is>
          <x:t xml:space="preserve">NOT_AVAILABLE</x:t>
        </x:is>
      </x:c>
      <x:c r="E204" s="5"/>
      <x:c r="F204" s="4">
        <x:v>0</x:v>
      </x:c>
      <x:c r="G204" s="4">
        <x:v>10467</x:v>
      </x:c>
      <x:c r="H204" s="6">
        <x:v>165.67</x:v>
      </x:c>
      <x:c r="I204" s="16">
        <x:v>1</x:v>
      </x:c>
      <x:c r="J204"/>
      <x:c r="K204" s="4"/>
      <x:c r="L204" s="4"/>
      <x:c r="M204" s="4"/>
      <x:c r="N204" s="5"/>
    </x:row>
    <x:row r="205" ht="24" customHeight="1">
      <x:c r="A205" s="1" t="inlineStr">
        <x:is>
          <x:t xml:space="preserve">RESULT</x:t>
        </x:is>
      </x:c>
      <x:c r="B205" s="1" t="inlineStr">
        <x:is>
          <x:t xml:space="preserve">Round1</x:t>
        </x:is>
      </x:c>
      <x:c r="C205" s="1" t="inlineStr">
        <x:is>
          <x:t xml:space="preserve">Closure_68</x:t>
        </x:is>
      </x:c>
      <x:c r="D205" s="1" t="inlineStr">
        <x:is>
          <x:t xml:space="preserve">NOT_AVAILABLE</x:t>
        </x:is>
      </x:c>
      <x:c r="E205" s="5"/>
      <x:c r="F205" s="4">
        <x:v>0</x:v>
      </x:c>
      <x:c r="G205" s="4">
        <x:v>15822</x:v>
      </x:c>
      <x:c r="H205" s="6">
        <x:v>96.26</x:v>
      </x:c>
      <x:c r="I205" s="16">
        <x:v>1</x:v>
      </x:c>
      <x:c r="J205"/>
      <x:c r="K205" s="4"/>
      <x:c r="L205" s="4"/>
      <x:c r="M205" s="4"/>
      <x:c r="N205" s="5"/>
    </x:row>
    <x:row r="206" ht="24" customHeight="1">
      <x:c r="A206" s="1" t="inlineStr">
        <x:is>
          <x:t xml:space="preserve">RESULT</x:t>
        </x:is>
      </x:c>
      <x:c r="B206" s="1" t="inlineStr">
        <x:is>
          <x:t xml:space="preserve">Round1</x:t>
        </x:is>
      </x:c>
      <x:c r="C206" s="1" t="inlineStr">
        <x:is>
          <x:t xml:space="preserve">Closure_69</x:t>
        </x:is>
      </x:c>
      <x:c r="D206" s="1" t="inlineStr">
        <x:is>
          <x:t xml:space="preserve">NOT_AVAILABLE</x:t>
        </x:is>
      </x:c>
      <x:c r="E206" s="5"/>
      <x:c r="F206" s="4">
        <x:v>0</x:v>
      </x:c>
      <x:c r="G206" s="4">
        <x:v>16329</x:v>
      </x:c>
      <x:c r="H206" s="6">
        <x:v>118.1</x:v>
      </x:c>
      <x:c r="I206" s="16">
        <x:v>1</x:v>
      </x:c>
      <x:c r="J206"/>
      <x:c r="K206" s="4"/>
      <x:c r="L206" s="4"/>
      <x:c r="M206" s="4"/>
      <x:c r="N206" s="5"/>
    </x:row>
    <x:row r="207" ht="24" customHeight="1">
      <x:c r="A207" s="1" t="inlineStr">
        <x:is>
          <x:t xml:space="preserve">RESULT</x:t>
        </x:is>
      </x:c>
      <x:c r="B207" s="1" t="inlineStr">
        <x:is>
          <x:t xml:space="preserve">Round1</x:t>
        </x:is>
      </x:c>
      <x:c r="C207" s="1" t="inlineStr">
        <x:is>
          <x:t xml:space="preserve">Closure_7</x:t>
        </x:is>
      </x:c>
      <x:c r="D207" s="1" t="inlineStr">
        <x:is>
          <x:t xml:space="preserve">NOT_AVAILABLE</x:t>
        </x:is>
      </x:c>
      <x:c r="E207" s="5"/>
      <x:c r="F207" s="4">
        <x:v>0</x:v>
      </x:c>
      <x:c r="G207" s="4">
        <x:v>13083</x:v>
      </x:c>
      <x:c r="H207" s="6">
        <x:v>273.55</x:v>
      </x:c>
      <x:c r="I207" s="16">
        <x:v>1</x:v>
      </x:c>
      <x:c r="J207"/>
      <x:c r="K207" s="4"/>
      <x:c r="L207" s="4"/>
      <x:c r="M207" s="4"/>
      <x:c r="N207" s="5"/>
    </x:row>
    <x:row r="208" ht="24" customHeight="1">
      <x:c r="A208" s="1" t="inlineStr">
        <x:is>
          <x:t xml:space="preserve">RESULT</x:t>
        </x:is>
      </x:c>
      <x:c r="B208" s="1" t="inlineStr">
        <x:is>
          <x:t xml:space="preserve">Round1</x:t>
        </x:is>
      </x:c>
      <x:c r="C208" s="1" t="inlineStr">
        <x:is>
          <x:t xml:space="preserve">Closure_70</x:t>
        </x:is>
      </x:c>
      <x:c r="D208" s="1" t="inlineStr">
        <x:is>
          <x:t xml:space="preserve">NOT_AVAILABLE</x:t>
        </x:is>
      </x:c>
      <x:c r="E208" s="5"/>
      <x:c r="F208" s="4">
        <x:v>0</x:v>
      </x:c>
      <x:c r="G208" s="4">
        <x:v>15691</x:v>
      </x:c>
      <x:c r="H208" s="6">
        <x:v>122.53</x:v>
      </x:c>
      <x:c r="I208" s="16">
        <x:v>1</x:v>
      </x:c>
      <x:c r="J208"/>
      <x:c r="K208" s="4"/>
      <x:c r="L208" s="4"/>
      <x:c r="M208" s="4"/>
      <x:c r="N208" s="5"/>
    </x:row>
    <x:row r="209" ht="24" customHeight="1">
      <x:c r="A209" s="1" t="inlineStr">
        <x:is>
          <x:t xml:space="preserve">RESULT</x:t>
        </x:is>
      </x:c>
      <x:c r="B209" s="1" t="inlineStr">
        <x:is>
          <x:t xml:space="preserve">Round1</x:t>
        </x:is>
      </x:c>
      <x:c r="C209" s="1" t="inlineStr">
        <x:is>
          <x:t xml:space="preserve">Closure_71</x:t>
        </x:is>
      </x:c>
      <x:c r="D209" s="1" t="inlineStr">
        <x:is>
          <x:t xml:space="preserve">NOT_AVAILABLE</x:t>
        </x:is>
      </x:c>
      <x:c r="E209" s="5"/>
      <x:c r="F209" s="4">
        <x:v>0</x:v>
      </x:c>
      <x:c r="G209" s="4">
        <x:v>8153</x:v>
      </x:c>
      <x:c r="H209" s="6">
        <x:v>72.78</x:v>
      </x:c>
      <x:c r="I209" s="16">
        <x:v>1</x:v>
      </x:c>
      <x:c r="J209"/>
      <x:c r="K209" s="4"/>
      <x:c r="L209" s="4"/>
      <x:c r="M209" s="4"/>
      <x:c r="N209" s="5"/>
    </x:row>
    <x:row r="210" ht="24" customHeight="1">
      <x:c r="A210" s="1" t="inlineStr">
        <x:is>
          <x:t xml:space="preserve">RESULT</x:t>
        </x:is>
      </x:c>
      <x:c r="B210" s="1" t="inlineStr">
        <x:is>
          <x:t xml:space="preserve">Round1</x:t>
        </x:is>
      </x:c>
      <x:c r="C210" s="1" t="inlineStr">
        <x:is>
          <x:t xml:space="preserve">Closure_72</x:t>
        </x:is>
      </x:c>
      <x:c r="D210" s="1" t="inlineStr">
        <x:is>
          <x:t xml:space="preserve">NOT_AVAILABLE</x:t>
        </x:is>
      </x:c>
      <x:c r="E210" s="5"/>
      <x:c r="F210" s="4">
        <x:v>0</x:v>
      </x:c>
      <x:c r="G210" s="4">
        <x:v>13607</x:v>
      </x:c>
      <x:c r="H210" s="6">
        <x:v>236.27</x:v>
      </x:c>
      <x:c r="I210" s="16">
        <x:v>1</x:v>
      </x:c>
      <x:c r="J210"/>
      <x:c r="K210" s="4"/>
      <x:c r="L210" s="4"/>
      <x:c r="M210" s="4"/>
      <x:c r="N210" s="5"/>
    </x:row>
    <x:row r="211" ht="24" customHeight="1">
      <x:c r="A211" s="1" t="inlineStr">
        <x:is>
          <x:t xml:space="preserve">RESULT</x:t>
        </x:is>
      </x:c>
      <x:c r="B211" s="1" t="inlineStr">
        <x:is>
          <x:t xml:space="preserve">Round1</x:t>
        </x:is>
      </x:c>
      <x:c r="C211" s="1" t="inlineStr">
        <x:is>
          <x:t xml:space="preserve">Closure_73</x:t>
        </x:is>
      </x:c>
      <x:c r="D211" s="1" t="inlineStr">
        <x:is>
          <x:t xml:space="preserve">NOT_AVAILABLE</x:t>
        </x:is>
      </x:c>
      <x:c r="E211" s="5"/>
      <x:c r="F211" s="4">
        <x:v>0</x:v>
      </x:c>
      <x:c r="G211" s="4">
        <x:v>11328</x:v>
      </x:c>
      <x:c r="H211" s="6">
        <x:v>126.87</x:v>
      </x:c>
      <x:c r="I211" s="16">
        <x:v>1</x:v>
      </x:c>
      <x:c r="J211"/>
      <x:c r="K211" s="4"/>
      <x:c r="L211" s="4"/>
      <x:c r="M211" s="4"/>
      <x:c r="N211" s="5"/>
    </x:row>
    <x:row r="212" ht="24" customHeight="1">
      <x:c r="A212" s="1" t="inlineStr">
        <x:is>
          <x:t xml:space="preserve">RESULT</x:t>
        </x:is>
      </x:c>
      <x:c r="B212" s="1" t="inlineStr">
        <x:is>
          <x:t xml:space="preserve">Round1</x:t>
        </x:is>
      </x:c>
      <x:c r="C212" s="1" t="inlineStr">
        <x:is>
          <x:t xml:space="preserve">Closure_74</x:t>
        </x:is>
      </x:c>
      <x:c r="D212" s="1" t="inlineStr">
        <x:is>
          <x:t xml:space="preserve">NOT_AVAILABLE</x:t>
        </x:is>
      </x:c>
      <x:c r="E212" s="5"/>
      <x:c r="F212" s="4">
        <x:v>0</x:v>
      </x:c>
      <x:c r="G212" s="4">
        <x:v>13995</x:v>
      </x:c>
      <x:c r="H212" s="6">
        <x:v>117.03</x:v>
      </x:c>
      <x:c r="I212" s="16">
        <x:v>1</x:v>
      </x:c>
      <x:c r="J212"/>
      <x:c r="K212" s="4"/>
      <x:c r="L212" s="4"/>
      <x:c r="M212" s="4"/>
      <x:c r="N212" s="5"/>
    </x:row>
    <x:row r="213" ht="24" customHeight="1">
      <x:c r="A213" s="1" t="inlineStr">
        <x:is>
          <x:t xml:space="preserve">RESULT</x:t>
        </x:is>
      </x:c>
      <x:c r="B213" s="1" t="inlineStr">
        <x:is>
          <x:t xml:space="preserve">Round1</x:t>
        </x:is>
      </x:c>
      <x:c r="C213" s="1" t="inlineStr">
        <x:is>
          <x:t xml:space="preserve">Closure_75</x:t>
        </x:is>
      </x:c>
      <x:c r="D213" s="1" t="inlineStr">
        <x:is>
          <x:t xml:space="preserve">NOT_AVAILABLE</x:t>
        </x:is>
      </x:c>
      <x:c r="E213" s="5"/>
      <x:c r="F213" s="4">
        <x:v>0</x:v>
      </x:c>
      <x:c r="G213" s="4">
        <x:v>19089</x:v>
      </x:c>
      <x:c r="H213" s="6">
        <x:v>133.35</x:v>
      </x:c>
      <x:c r="I213" s="16">
        <x:v>1</x:v>
      </x:c>
      <x:c r="J213"/>
      <x:c r="K213" s="4"/>
      <x:c r="L213" s="4"/>
      <x:c r="M213" s="4"/>
      <x:c r="N213" s="5"/>
    </x:row>
    <x:row r="214" ht="24" customHeight="1">
      <x:c r="A214" s="1" t="inlineStr">
        <x:is>
          <x:t xml:space="preserve">RESULT</x:t>
        </x:is>
      </x:c>
      <x:c r="B214" s="1" t="inlineStr">
        <x:is>
          <x:t xml:space="preserve">Round1</x:t>
        </x:is>
      </x:c>
      <x:c r="C214" s="1" t="inlineStr">
        <x:is>
          <x:t xml:space="preserve">Closure_76</x:t>
        </x:is>
      </x:c>
      <x:c r="D214" s="1" t="inlineStr">
        <x:is>
          <x:t xml:space="preserve">NOT_AVAILABLE</x:t>
        </x:is>
      </x:c>
      <x:c r="E214" s="5"/>
      <x:c r="F214" s="4">
        <x:v>0</x:v>
      </x:c>
      <x:c r="G214" s="4">
        <x:v>7517</x:v>
      </x:c>
      <x:c r="H214" s="6">
        <x:v>120.07</x:v>
      </x:c>
      <x:c r="I214" s="16">
        <x:v>1</x:v>
      </x:c>
      <x:c r="J214"/>
      <x:c r="K214" s="4"/>
      <x:c r="L214" s="4"/>
      <x:c r="M214" s="4"/>
      <x:c r="N214" s="5"/>
    </x:row>
    <x:row r="215" ht="24" customHeight="1">
      <x:c r="A215" s="1" t="inlineStr">
        <x:is>
          <x:t xml:space="preserve">RESULT</x:t>
        </x:is>
      </x:c>
      <x:c r="B215" s="1" t="inlineStr">
        <x:is>
          <x:t xml:space="preserve">Round1</x:t>
        </x:is>
      </x:c>
      <x:c r="C215" s="1" t="inlineStr">
        <x:is>
          <x:t xml:space="preserve">Closure_77</x:t>
        </x:is>
      </x:c>
      <x:c r="D215" s="1" t="inlineStr">
        <x:is>
          <x:t xml:space="preserve">NOT_AVAILABLE</x:t>
        </x:is>
      </x:c>
      <x:c r="E215" s="5"/>
      <x:c r="F215" s="4">
        <x:v>0</x:v>
      </x:c>
      <x:c r="G215" s="4">
        <x:v>11622</x:v>
      </x:c>
      <x:c r="H215" s="6">
        <x:v>150.67</x:v>
      </x:c>
      <x:c r="I215" s="16">
        <x:v>1</x:v>
      </x:c>
      <x:c r="J215"/>
      <x:c r="K215" s="4"/>
      <x:c r="L215" s="4"/>
      <x:c r="M215" s="4"/>
      <x:c r="N215" s="5"/>
    </x:row>
    <x:row r="216" ht="24" customHeight="1">
      <x:c r="A216" s="1" t="inlineStr">
        <x:is>
          <x:t xml:space="preserve">RESULT</x:t>
        </x:is>
      </x:c>
      <x:c r="B216" s="1" t="inlineStr">
        <x:is>
          <x:t xml:space="preserve">Round1</x:t>
        </x:is>
      </x:c>
      <x:c r="C216" s="1" t="inlineStr">
        <x:is>
          <x:t xml:space="preserve">Closure_78</x:t>
        </x:is>
      </x:c>
      <x:c r="D216" s="1" t="inlineStr">
        <x:is>
          <x:t xml:space="preserve">NOT_AVAILABLE</x:t>
        </x:is>
      </x:c>
      <x:c r="E216" s="5"/>
      <x:c r="F216" s="4">
        <x:v>0</x:v>
      </x:c>
      <x:c r="G216" s="4">
        <x:v>16353</x:v>
      </x:c>
      <x:c r="H216" s="6">
        <x:v>226.58</x:v>
      </x:c>
      <x:c r="I216" s="16">
        <x:v>1</x:v>
      </x:c>
      <x:c r="J216"/>
      <x:c r="K216" s="4"/>
      <x:c r="L216" s="4"/>
      <x:c r="M216" s="4"/>
      <x:c r="N216" s="5"/>
    </x:row>
    <x:row r="217" ht="24" customHeight="1">
      <x:c r="A217" s="1" t="inlineStr">
        <x:is>
          <x:t xml:space="preserve">RESULT</x:t>
        </x:is>
      </x:c>
      <x:c r="B217" s="1" t="inlineStr">
        <x:is>
          <x:t xml:space="preserve">Round1</x:t>
        </x:is>
      </x:c>
      <x:c r="C217" s="1" t="inlineStr">
        <x:is>
          <x:t xml:space="preserve">Closure_79</x:t>
        </x:is>
      </x:c>
      <x:c r="D217" s="1" t="inlineStr">
        <x:is>
          <x:t xml:space="preserve">NOT_AVAILABLE</x:t>
        </x:is>
      </x:c>
      <x:c r="E217" s="5"/>
      <x:c r="F217" s="4">
        <x:v>0</x:v>
      </x:c>
      <x:c r="G217" s="4">
        <x:v>19389</x:v>
      </x:c>
      <x:c r="H217" s="6">
        <x:v>268.54</x:v>
      </x:c>
      <x:c r="I217" s="16">
        <x:v>1</x:v>
      </x:c>
      <x:c r="J217"/>
      <x:c r="K217" s="4"/>
      <x:c r="L217" s="4"/>
      <x:c r="M217" s="4"/>
      <x:c r="N217" s="5"/>
    </x:row>
    <x:row r="218" ht="24" customHeight="1">
      <x:c r="A218" s="1" t="inlineStr">
        <x:is>
          <x:t xml:space="preserve">RESULT</x:t>
        </x:is>
      </x:c>
      <x:c r="B218" s="1" t="inlineStr">
        <x:is>
          <x:t xml:space="preserve">Round1</x:t>
        </x:is>
      </x:c>
      <x:c r="C218" s="1" t="inlineStr">
        <x:is>
          <x:t xml:space="preserve">Closure_8</x:t>
        </x:is>
      </x:c>
      <x:c r="D218" s="1" t="inlineStr">
        <x:is>
          <x:t xml:space="preserve">NOT_AVAILABLE</x:t>
        </x:is>
      </x:c>
      <x:c r="E218" s="5"/>
      <x:c r="F218" s="4">
        <x:v>0</x:v>
      </x:c>
      <x:c r="G218" s="4">
        <x:v>5351</x:v>
      </x:c>
      <x:c r="H218" s="6">
        <x:v>98.92</x:v>
      </x:c>
      <x:c r="I218" s="16">
        <x:v>1</x:v>
      </x:c>
      <x:c r="J218"/>
      <x:c r="K218" s="4"/>
      <x:c r="L218" s="4"/>
      <x:c r="M218" s="4"/>
      <x:c r="N218" s="5"/>
    </x:row>
    <x:row r="219" ht="24" customHeight="1">
      <x:c r="A219" s="1" t="inlineStr">
        <x:is>
          <x:t xml:space="preserve">RESULT</x:t>
        </x:is>
      </x:c>
      <x:c r="B219" s="1" t="inlineStr">
        <x:is>
          <x:t xml:space="preserve">Round1</x:t>
        </x:is>
      </x:c>
      <x:c r="C219" s="1" t="inlineStr">
        <x:is>
          <x:t xml:space="preserve">Closure_80</x:t>
        </x:is>
      </x:c>
      <x:c r="D219" s="1" t="inlineStr">
        <x:is>
          <x:t xml:space="preserve">NOT_AVAILABLE</x:t>
        </x:is>
      </x:c>
      <x:c r="E219" s="5"/>
      <x:c r="F219" s="4">
        <x:v>0</x:v>
      </x:c>
      <x:c r="G219" s="4">
        <x:v>18848</x:v>
      </x:c>
      <x:c r="H219" s="6">
        <x:v>117.57</x:v>
      </x:c>
      <x:c r="I219" s="16">
        <x:v>1</x:v>
      </x:c>
      <x:c r="J219"/>
      <x:c r="K219" s="4"/>
      <x:c r="L219" s="4"/>
      <x:c r="M219" s="4"/>
      <x:c r="N219" s="5"/>
    </x:row>
    <x:row r="220" ht="24" customHeight="1">
      <x:c r="A220" s="1" t="inlineStr">
        <x:is>
          <x:t xml:space="preserve">RESULT</x:t>
        </x:is>
      </x:c>
      <x:c r="B220" s="1" t="inlineStr">
        <x:is>
          <x:t xml:space="preserve">Round1</x:t>
        </x:is>
      </x:c>
      <x:c r="C220" s="1" t="inlineStr">
        <x:is>
          <x:t xml:space="preserve">Closure_81</x:t>
        </x:is>
      </x:c>
      <x:c r="D220" s="1" t="inlineStr">
        <x:is>
          <x:t xml:space="preserve">NOT_AVAILABLE</x:t>
        </x:is>
      </x:c>
      <x:c r="E220" s="5"/>
      <x:c r="F220" s="4">
        <x:v>0</x:v>
      </x:c>
      <x:c r="G220" s="4">
        <x:v>13418</x:v>
      </x:c>
      <x:c r="H220" s="6">
        <x:v>58.09</x:v>
      </x:c>
      <x:c r="I220" s="16">
        <x:v>1</x:v>
      </x:c>
      <x:c r="J220"/>
      <x:c r="K220" s="4"/>
      <x:c r="L220" s="4"/>
      <x:c r="M220" s="4"/>
      <x:c r="N220" s="5"/>
    </x:row>
    <x:row r="221" ht="24" customHeight="1">
      <x:c r="A221" s="1" t="inlineStr">
        <x:is>
          <x:t xml:space="preserve">RESULT</x:t>
        </x:is>
      </x:c>
      <x:c r="B221" s="1" t="inlineStr">
        <x:is>
          <x:t xml:space="preserve">Round1</x:t>
        </x:is>
      </x:c>
      <x:c r="C221" s="1" t="inlineStr">
        <x:is>
          <x:t xml:space="preserve">Closure_82</x:t>
        </x:is>
      </x:c>
      <x:c r="D221" s="1" t="inlineStr">
        <x:is>
          <x:t xml:space="preserve">NOT_AVAILABLE</x:t>
        </x:is>
      </x:c>
      <x:c r="E221" s="5"/>
      <x:c r="F221" s="4">
        <x:v>0</x:v>
      </x:c>
      <x:c r="G221" s="4">
        <x:v>13560</x:v>
      </x:c>
      <x:c r="H221" s="6">
        <x:v>349.9</x:v>
      </x:c>
      <x:c r="I221" s="16">
        <x:v>1</x:v>
      </x:c>
      <x:c r="J221"/>
      <x:c r="K221" s="4"/>
      <x:c r="L221" s="4"/>
      <x:c r="M221" s="4"/>
      <x:c r="N221" s="5"/>
    </x:row>
    <x:row r="222" ht="24" customHeight="1">
      <x:c r="A222" s="1" t="inlineStr">
        <x:is>
          <x:t xml:space="preserve">RESULT</x:t>
        </x:is>
      </x:c>
      <x:c r="B222" s="1" t="inlineStr">
        <x:is>
          <x:t xml:space="preserve">Round1</x:t>
        </x:is>
      </x:c>
      <x:c r="C222" s="1" t="inlineStr">
        <x:is>
          <x:t xml:space="preserve">Closure_83</x:t>
        </x:is>
      </x:c>
      <x:c r="D222" s="1" t="inlineStr">
        <x:is>
          <x:t xml:space="preserve">NOT_AVAILABLE</x:t>
        </x:is>
      </x:c>
      <x:c r="E222" s="5"/>
      <x:c r="F222" s="4">
        <x:v>0</x:v>
      </x:c>
      <x:c r="G222" s="4">
        <x:v>9321</x:v>
      </x:c>
      <x:c r="H222" s="6">
        <x:v>106.05</x:v>
      </x:c>
      <x:c r="I222" s="16">
        <x:v>1</x:v>
      </x:c>
      <x:c r="J222"/>
      <x:c r="K222" s="4"/>
      <x:c r="L222" s="4"/>
      <x:c r="M222" s="4"/>
      <x:c r="N222" s="5"/>
    </x:row>
    <x:row r="223" ht="24" customHeight="1">
      <x:c r="A223" s="1" t="inlineStr">
        <x:is>
          <x:t xml:space="preserve">RESULT</x:t>
        </x:is>
      </x:c>
      <x:c r="B223" s="1" t="inlineStr">
        <x:is>
          <x:t xml:space="preserve">Round1</x:t>
        </x:is>
      </x:c>
      <x:c r="C223" s="1" t="inlineStr">
        <x:is>
          <x:t xml:space="preserve">Closure_84</x:t>
        </x:is>
      </x:c>
      <x:c r="D223" s="1" t="inlineStr">
        <x:is>
          <x:t xml:space="preserve">NOT_AVAILABLE</x:t>
        </x:is>
      </x:c>
      <x:c r="E223" s="5"/>
      <x:c r="F223" s="4">
        <x:v>0</x:v>
      </x:c>
      <x:c r="G223" s="4">
        <x:v>12107</x:v>
      </x:c>
      <x:c r="H223" s="6">
        <x:v>22.64</x:v>
      </x:c>
      <x:c r="I223" s="16">
        <x:v>1</x:v>
      </x:c>
      <x:c r="J223"/>
      <x:c r="K223" s="4"/>
      <x:c r="L223" s="4"/>
      <x:c r="M223" s="4"/>
      <x:c r="N223" s="5"/>
    </x:row>
    <x:row r="224" ht="24" customHeight="1">
      <x:c r="A224" s="1" t="inlineStr">
        <x:is>
          <x:t xml:space="preserve">RESULT</x:t>
        </x:is>
      </x:c>
      <x:c r="B224" s="1" t="inlineStr">
        <x:is>
          <x:t xml:space="preserve">Round1</x:t>
        </x:is>
      </x:c>
      <x:c r="C224" s="1" t="inlineStr">
        <x:is>
          <x:t xml:space="preserve">Closure_85</x:t>
        </x:is>
      </x:c>
      <x:c r="D224" s="1" t="inlineStr">
        <x:is>
          <x:t xml:space="preserve">NOT_AVAILABLE</x:t>
        </x:is>
      </x:c>
      <x:c r="E224" s="5"/>
      <x:c r="F224" s="4">
        <x:v>0</x:v>
      </x:c>
      <x:c r="G224" s="4">
        <x:v>5364</x:v>
      </x:c>
      <x:c r="H224" s="6">
        <x:v>97.46</x:v>
      </x:c>
      <x:c r="I224" s="16">
        <x:v>1</x:v>
      </x:c>
      <x:c r="J224"/>
      <x:c r="K224" s="4"/>
      <x:c r="L224" s="4"/>
      <x:c r="M224" s="4"/>
      <x:c r="N224" s="5"/>
    </x:row>
    <x:row r="225" ht="24" customHeight="1">
      <x:c r="A225" s="1" t="inlineStr">
        <x:is>
          <x:t xml:space="preserve">RESULT</x:t>
        </x:is>
      </x:c>
      <x:c r="B225" s="1" t="inlineStr">
        <x:is>
          <x:t xml:space="preserve">Round1</x:t>
        </x:is>
      </x:c>
      <x:c r="C225" s="1" t="inlineStr">
        <x:is>
          <x:t xml:space="preserve">Closure_86</x:t>
        </x:is>
      </x:c>
      <x:c r="D225" s="1" t="inlineStr">
        <x:is>
          <x:t xml:space="preserve">NOT_AVAILABLE</x:t>
        </x:is>
      </x:c>
      <x:c r="E225" s="5"/>
      <x:c r="F225" s="4">
        <x:v>0</x:v>
      </x:c>
      <x:c r="G225" s="4">
        <x:v>25853</x:v>
      </x:c>
      <x:c r="H225" s="6">
        <x:v>501.04</x:v>
      </x:c>
      <x:c r="I225" s="16">
        <x:v>1</x:v>
      </x:c>
      <x:c r="J225"/>
      <x:c r="K225" s="4"/>
      <x:c r="L225" s="4"/>
      <x:c r="M225" s="4"/>
      <x:c r="N225" s="5"/>
    </x:row>
    <x:row r="226" ht="24" customHeight="1">
      <x:c r="A226" s="1" t="inlineStr">
        <x:is>
          <x:t xml:space="preserve">RESULT</x:t>
        </x:is>
      </x:c>
      <x:c r="B226" s="1" t="inlineStr">
        <x:is>
          <x:t xml:space="preserve">Round1</x:t>
        </x:is>
      </x:c>
      <x:c r="C226" s="1" t="inlineStr">
        <x:is>
          <x:t xml:space="preserve">Closure_87</x:t>
        </x:is>
      </x:c>
      <x:c r="D226" s="1" t="inlineStr">
        <x:is>
          <x:t xml:space="preserve">NOT_AVAILABLE</x:t>
        </x:is>
      </x:c>
      <x:c r="E226" s="5"/>
      <x:c r="F226" s="4">
        <x:v>0</x:v>
      </x:c>
      <x:c r="G226" s="4">
        <x:v>8141</x:v>
      </x:c>
      <x:c r="H226" s="6">
        <x:v>52.76</x:v>
      </x:c>
      <x:c r="I226" s="16">
        <x:v>1</x:v>
      </x:c>
      <x:c r="J226"/>
      <x:c r="K226" s="4"/>
      <x:c r="L226" s="4"/>
      <x:c r="M226" s="4"/>
      <x:c r="N226" s="5"/>
    </x:row>
    <x:row r="227" ht="24" customHeight="1">
      <x:c r="A227" s="1" t="inlineStr">
        <x:is>
          <x:t xml:space="preserve">RESULT</x:t>
        </x:is>
      </x:c>
      <x:c r="B227" s="1" t="inlineStr">
        <x:is>
          <x:t xml:space="preserve">Round1</x:t>
        </x:is>
      </x:c>
      <x:c r="C227" s="1" t="inlineStr">
        <x:is>
          <x:t xml:space="preserve">Closure_88</x:t>
        </x:is>
      </x:c>
      <x:c r="D227" s="1" t="inlineStr">
        <x:is>
          <x:t xml:space="preserve">NOT_AVAILABLE</x:t>
        </x:is>
      </x:c>
      <x:c r="E227" s="5"/>
      <x:c r="F227" s="4">
        <x:v>0</x:v>
      </x:c>
      <x:c r="G227" s="4">
        <x:v>6165</x:v>
      </x:c>
      <x:c r="H227" s="6">
        <x:v>80.01</x:v>
      </x:c>
      <x:c r="I227" s="16">
        <x:v>1</x:v>
      </x:c>
      <x:c r="J227"/>
      <x:c r="K227" s="4"/>
      <x:c r="L227" s="4"/>
      <x:c r="M227" s="4"/>
      <x:c r="N227" s="5"/>
    </x:row>
    <x:row r="228" ht="24" customHeight="1">
      <x:c r="A228" s="1" t="inlineStr">
        <x:is>
          <x:t xml:space="preserve">RESULT</x:t>
        </x:is>
      </x:c>
      <x:c r="B228" s="1" t="inlineStr">
        <x:is>
          <x:t xml:space="preserve">Round1</x:t>
        </x:is>
      </x:c>
      <x:c r="C228" s="1" t="inlineStr">
        <x:is>
          <x:t xml:space="preserve">Closure_89</x:t>
        </x:is>
      </x:c>
      <x:c r="D228" s="1" t="inlineStr">
        <x:is>
          <x:t xml:space="preserve">NOT_AVAILABLE</x:t>
        </x:is>
      </x:c>
      <x:c r="E228" s="5"/>
      <x:c r="F228" s="4">
        <x:v>0</x:v>
      </x:c>
      <x:c r="G228" s="4">
        <x:v>17419</x:v>
      </x:c>
      <x:c r="H228" s="6">
        <x:v>225.01</x:v>
      </x:c>
      <x:c r="I228" s="16">
        <x:v>1</x:v>
      </x:c>
      <x:c r="J228"/>
      <x:c r="K228" s="4"/>
      <x:c r="L228" s="4"/>
      <x:c r="M228" s="4"/>
      <x:c r="N228" s="5"/>
    </x:row>
    <x:row r="229" ht="24" customHeight="1">
      <x:c r="A229" s="1" t="inlineStr">
        <x:is>
          <x:t xml:space="preserve">RESULT</x:t>
        </x:is>
      </x:c>
      <x:c r="B229" s="1" t="inlineStr">
        <x:is>
          <x:t xml:space="preserve">Round1</x:t>
        </x:is>
      </x:c>
      <x:c r="C229" s="1" t="inlineStr">
        <x:is>
          <x:t xml:space="preserve">Closure_9</x:t>
        </x:is>
      </x:c>
      <x:c r="D229" s="1" t="inlineStr">
        <x:is>
          <x:t xml:space="preserve">NOT_AVAILABLE</x:t>
        </x:is>
      </x:c>
      <x:c r="E229" s="5"/>
      <x:c r="F229" s="4">
        <x:v>0</x:v>
      </x:c>
      <x:c r="G229" s="4">
        <x:v>5289</x:v>
      </x:c>
      <x:c r="H229" s="6">
        <x:v>71.92</x:v>
      </x:c>
      <x:c r="I229" s="16">
        <x:v>1</x:v>
      </x:c>
      <x:c r="J229"/>
      <x:c r="K229" s="4"/>
      <x:c r="L229" s="4"/>
      <x:c r="M229" s="4"/>
      <x:c r="N229" s="5"/>
    </x:row>
    <x:row r="230" ht="24" customHeight="1">
      <x:c r="A230" s="1" t="inlineStr">
        <x:is>
          <x:t xml:space="preserve">RESULT</x:t>
        </x:is>
      </x:c>
      <x:c r="B230" s="1" t="inlineStr">
        <x:is>
          <x:t xml:space="preserve">Round1</x:t>
        </x:is>
      </x:c>
      <x:c r="C230" s="1" t="inlineStr">
        <x:is>
          <x:t xml:space="preserve">Closure_90</x:t>
        </x:is>
      </x:c>
      <x:c r="D230" s="1" t="inlineStr">
        <x:is>
          <x:t xml:space="preserve">NOT_AVAILABLE</x:t>
        </x:is>
      </x:c>
      <x:c r="E230" s="5"/>
      <x:c r="F230" s="4">
        <x:v>0</x:v>
      </x:c>
      <x:c r="G230" s="4">
        <x:v>29404</x:v>
      </x:c>
      <x:c r="H230" s="6">
        <x:v>256.06</x:v>
      </x:c>
      <x:c r="I230" s="16">
        <x:v>1</x:v>
      </x:c>
      <x:c r="J230"/>
      <x:c r="K230" s="4"/>
      <x:c r="L230" s="4"/>
      <x:c r="M230" s="4"/>
      <x:c r="N230" s="5"/>
    </x:row>
    <x:row r="231" ht="24" customHeight="1">
      <x:c r="A231" s="1" t="inlineStr">
        <x:is>
          <x:t xml:space="preserve">RESULT</x:t>
        </x:is>
      </x:c>
      <x:c r="B231" s="1" t="inlineStr">
        <x:is>
          <x:t xml:space="preserve">Round1</x:t>
        </x:is>
      </x:c>
      <x:c r="C231" s="1" t="inlineStr">
        <x:is>
          <x:t xml:space="preserve">Closure_91</x:t>
        </x:is>
      </x:c>
      <x:c r="D231" s="1" t="inlineStr">
        <x:is>
          <x:t xml:space="preserve">NOT_AVAILABLE</x:t>
        </x:is>
      </x:c>
      <x:c r="E231" s="5"/>
      <x:c r="F231" s="4">
        <x:v>0</x:v>
      </x:c>
      <x:c r="G231" s="4">
        <x:v>5685</x:v>
      </x:c>
      <x:c r="H231" s="6">
        <x:v>116.63</x:v>
      </x:c>
      <x:c r="I231" s="16">
        <x:v>1</x:v>
      </x:c>
      <x:c r="J231"/>
      <x:c r="K231" s="4"/>
      <x:c r="L231" s="4"/>
      <x:c r="M231" s="4"/>
      <x:c r="N231" s="5"/>
    </x:row>
    <x:row r="232" ht="24" customHeight="1">
      <x:c r="A232" s="1" t="inlineStr">
        <x:is>
          <x:t xml:space="preserve">RESULT</x:t>
        </x:is>
      </x:c>
      <x:c r="B232" s="1" t="inlineStr">
        <x:is>
          <x:t xml:space="preserve">Round1</x:t>
        </x:is>
      </x:c>
      <x:c r="C232" s="1" t="inlineStr">
        <x:is>
          <x:t xml:space="preserve">Closure_92</x:t>
        </x:is>
      </x:c>
      <x:c r="D232" s="1" t="inlineStr">
        <x:is>
          <x:t xml:space="preserve">NOT_AVAILABLE</x:t>
        </x:is>
      </x:c>
      <x:c r="E232" s="5"/>
      <x:c r="F232" s="4">
        <x:v>0</x:v>
      </x:c>
      <x:c r="G232" s="4">
        <x:v>11025</x:v>
      </x:c>
      <x:c r="H232" s="6">
        <x:v>173.4</x:v>
      </x:c>
      <x:c r="I232" s="16">
        <x:v>1</x:v>
      </x:c>
      <x:c r="J232"/>
      <x:c r="K232" s="4"/>
      <x:c r="L232" s="4"/>
      <x:c r="M232" s="4"/>
      <x:c r="N232" s="5"/>
    </x:row>
    <x:row r="233" ht="24" customHeight="1">
      <x:c r="A233" s="1" t="inlineStr">
        <x:is>
          <x:t xml:space="preserve">RESULT</x:t>
        </x:is>
      </x:c>
      <x:c r="B233" s="1" t="inlineStr">
        <x:is>
          <x:t xml:space="preserve">Round1</x:t>
        </x:is>
      </x:c>
      <x:c r="C233" s="1" t="inlineStr">
        <x:is>
          <x:t xml:space="preserve">Closure_94</x:t>
        </x:is>
      </x:c>
      <x:c r="D233" s="1" t="inlineStr">
        <x:is>
          <x:t xml:space="preserve">NOT_AVAILABLE</x:t>
        </x:is>
      </x:c>
      <x:c r="E233" s="5"/>
      <x:c r="F233" s="4">
        <x:v>0</x:v>
      </x:c>
      <x:c r="G233" s="4">
        <x:v>24236</x:v>
      </x:c>
      <x:c r="H233" s="6">
        <x:v>478.67</x:v>
      </x:c>
      <x:c r="I233" s="16">
        <x:v>1</x:v>
      </x:c>
      <x:c r="J233"/>
      <x:c r="K233" s="4"/>
      <x:c r="L233" s="4"/>
      <x:c r="M233" s="4"/>
      <x:c r="N233" s="5"/>
    </x:row>
    <x:row r="234" ht="24" customHeight="1">
      <x:c r="A234" s="1" t="inlineStr">
        <x:is>
          <x:t xml:space="preserve">RESULT</x:t>
        </x:is>
      </x:c>
      <x:c r="B234" s="1" t="inlineStr">
        <x:is>
          <x:t xml:space="preserve">Round1</x:t>
        </x:is>
      </x:c>
      <x:c r="C234" s="1" t="inlineStr">
        <x:is>
          <x:t xml:space="preserve">Closure_95</x:t>
        </x:is>
      </x:c>
      <x:c r="D234" s="1" t="inlineStr">
        <x:is>
          <x:t xml:space="preserve">NOT_AVAILABLE</x:t>
        </x:is>
      </x:c>
      <x:c r="E234" s="5"/>
      <x:c r="F234" s="4">
        <x:v>0</x:v>
      </x:c>
      <x:c r="G234" s="4">
        <x:v>13087</x:v>
      </x:c>
      <x:c r="H234" s="6">
        <x:v>88.64</x:v>
      </x:c>
      <x:c r="I234" s="16">
        <x:v>1</x:v>
      </x:c>
      <x:c r="J234"/>
      <x:c r="K234" s="4"/>
      <x:c r="L234" s="4"/>
      <x:c r="M234" s="4"/>
      <x:c r="N234" s="5"/>
    </x:row>
    <x:row r="235" ht="24" customHeight="1">
      <x:c r="A235" s="1" t="inlineStr">
        <x:is>
          <x:t xml:space="preserve">RESULT</x:t>
        </x:is>
      </x:c>
      <x:c r="B235" s="1" t="inlineStr">
        <x:is>
          <x:t xml:space="preserve">Round1</x:t>
        </x:is>
      </x:c>
      <x:c r="C235" s="1" t="inlineStr">
        <x:is>
          <x:t xml:space="preserve">Closure_96</x:t>
        </x:is>
      </x:c>
      <x:c r="D235" s="1" t="inlineStr">
        <x:is>
          <x:t xml:space="preserve">NOT_AVAILABLE</x:t>
        </x:is>
      </x:c>
      <x:c r="E235" s="5"/>
      <x:c r="F235" s="4">
        <x:v>0</x:v>
      </x:c>
      <x:c r="G235" s="4">
        <x:v>14294</x:v>
      </x:c>
      <x:c r="H235" s="6">
        <x:v>85.97</x:v>
      </x:c>
      <x:c r="I235" s="16">
        <x:v>1</x:v>
      </x:c>
      <x:c r="J235"/>
      <x:c r="K235" s="4"/>
      <x:c r="L235" s="4"/>
      <x:c r="M235" s="4"/>
      <x:c r="N235" s="5"/>
    </x:row>
    <x:row r="236" ht="24" customHeight="1">
      <x:c r="A236" s="1" t="inlineStr">
        <x:is>
          <x:t xml:space="preserve">RESULT</x:t>
        </x:is>
      </x:c>
      <x:c r="B236" s="1" t="inlineStr">
        <x:is>
          <x:t xml:space="preserve">Round1</x:t>
        </x:is>
      </x:c>
      <x:c r="C236" s="1" t="inlineStr">
        <x:is>
          <x:t xml:space="preserve">Closure_97</x:t>
        </x:is>
      </x:c>
      <x:c r="D236" s="1" t="inlineStr">
        <x:is>
          <x:t xml:space="preserve">NOT_AVAILABLE</x:t>
        </x:is>
      </x:c>
      <x:c r="E236" s="5"/>
      <x:c r="F236" s="4">
        <x:v>0</x:v>
      </x:c>
      <x:c r="G236" s="4">
        <x:v>10928</x:v>
      </x:c>
      <x:c r="H236" s="6">
        <x:v>124.24</x:v>
      </x:c>
      <x:c r="I236" s="16">
        <x:v>1</x:v>
      </x:c>
      <x:c r="J236"/>
      <x:c r="K236" s="4"/>
      <x:c r="L236" s="4"/>
      <x:c r="M236" s="4"/>
      <x:c r="N236" s="5"/>
    </x:row>
    <x:row r="237" ht="24" customHeight="1">
      <x:c r="A237" s="1" t="inlineStr">
        <x:is>
          <x:t xml:space="preserve">RESULT</x:t>
        </x:is>
      </x:c>
      <x:c r="B237" s="1" t="inlineStr">
        <x:is>
          <x:t xml:space="preserve">Round1</x:t>
        </x:is>
      </x:c>
      <x:c r="C237" s="1" t="inlineStr">
        <x:is>
          <x:t xml:space="preserve">Closure_98</x:t>
        </x:is>
      </x:c>
      <x:c r="D237" s="1" t="inlineStr">
        <x:is>
          <x:t xml:space="preserve">NOT_AVAILABLE</x:t>
        </x:is>
      </x:c>
      <x:c r="E237" s="5"/>
      <x:c r="F237" s="4">
        <x:v>0</x:v>
      </x:c>
      <x:c r="G237" s="4">
        <x:v>8493</x:v>
      </x:c>
      <x:c r="H237" s="6">
        <x:v>133.97</x:v>
      </x:c>
      <x:c r="I237" s="16">
        <x:v>1</x:v>
      </x:c>
      <x:c r="J237"/>
      <x:c r="K237" s="4"/>
      <x:c r="L237" s="4"/>
      <x:c r="M237" s="4"/>
      <x:c r="N237" s="5"/>
    </x:row>
    <x:row r="238" ht="24" customHeight="1">
      <x:c r="A238" s="1" t="inlineStr">
        <x:is>
          <x:t xml:space="preserve">RESULT</x:t>
        </x:is>
      </x:c>
      <x:c r="B238" s="1" t="inlineStr">
        <x:is>
          <x:t xml:space="preserve">Round1</x:t>
        </x:is>
      </x:c>
      <x:c r="C238" s="1" t="inlineStr">
        <x:is>
          <x:t xml:space="preserve">Closure_99</x:t>
        </x:is>
      </x:c>
      <x:c r="D238" s="1" t="inlineStr">
        <x:is>
          <x:t xml:space="preserve">NOT_AVAILABLE</x:t>
        </x:is>
      </x:c>
      <x:c r="E238" s="5"/>
      <x:c r="F238" s="4">
        <x:v>0</x:v>
      </x:c>
      <x:c r="G238" s="4">
        <x:v>7110</x:v>
      </x:c>
      <x:c r="H238" s="6">
        <x:v>173.11</x:v>
      </x:c>
      <x:c r="I238" s="16">
        <x:v>1</x:v>
      </x:c>
      <x:c r="J238"/>
      <x:c r="K238" s="4"/>
      <x:c r="L238" s="4"/>
      <x:c r="M238" s="4"/>
      <x:c r="N238" s="5"/>
    </x:row>
    <x:row r="239" ht="24" customHeight="1">
      <x:c r="A239" s="1" t="inlineStr">
        <x:is>
          <x:t xml:space="preserve">RESULT</x:t>
        </x:is>
      </x:c>
      <x:c r="B239" s="1" t="inlineStr">
        <x:is>
          <x:t xml:space="preserve">Round1</x:t>
        </x:is>
      </x:c>
      <x:c r="C239" s="1" t="inlineStr">
        <x:is>
          <x:t xml:space="preserve">Codec_1</x:t>
        </x:is>
      </x:c>
      <x:c r="D239" s="1" t="inlineStr">
        <x:is>
          <x:t xml:space="preserve">NOT_AVAILABLE</x:t>
        </x:is>
      </x:c>
      <x:c r="E239" s="5"/>
      <x:c r="F239" s="4">
        <x:v>0</x:v>
      </x:c>
      <x:c r="G239" s="4">
        <x:v>25963</x:v>
      </x:c>
      <x:c r="H239" s="6">
        <x:v>320.59</x:v>
      </x:c>
      <x:c r="I239" s="16">
        <x:v>1</x:v>
      </x:c>
      <x:c r="J239"/>
      <x:c r="K239" s="4"/>
      <x:c r="L239" s="4"/>
      <x:c r="M239" s="4"/>
      <x:c r="N239" s="5"/>
    </x:row>
    <x:row r="240" ht="24" customHeight="1">
      <x:c r="A240" s="1" t="inlineStr">
        <x:is>
          <x:t xml:space="preserve">RESULT</x:t>
        </x:is>
      </x:c>
      <x:c r="B240" s="1" t="inlineStr">
        <x:is>
          <x:t xml:space="preserve">Round1</x:t>
        </x:is>
      </x:c>
      <x:c r="C240" s="1" t="inlineStr">
        <x:is>
          <x:t xml:space="preserve">Codec_10</x:t>
        </x:is>
      </x:c>
      <x:c r="D240" s="1" t="inlineStr">
        <x:is>
          <x:t xml:space="preserve">NOT_AVAILABLE</x:t>
        </x:is>
      </x:c>
      <x:c r="E240" s="5">
        <x:v>0.9854999999999999</x:v>
      </x:c>
      <x:c r="F240" s="4">
        <x:v>0</x:v>
      </x:c>
      <x:c r="G240" s="4">
        <x:v>3930</x:v>
      </x:c>
      <x:c r="H240" s="6">
        <x:v>33.98</x:v>
      </x:c>
      <x:c r="I240" s="16">
        <x:v>1</x:v>
      </x:c>
      <x:c r="J240">
        <x:v>69</x:v>
      </x:c>
      <x:c r="K240" s="4">
        <x:v>68</x:v>
      </x:c>
      <x:c r="L240" s="4">
        <x:v>6</x:v>
      </x:c>
      <x:c r="M240" s="4">
        <x:v>5</x:v>
      </x:c>
      <x:c r="N240" s="5">
        <x:v>0.8332999999999999</x:v>
      </x:c>
    </x:row>
    <x:row r="241" ht="24" customHeight="1">
      <x:c r="A241" s="1" t="inlineStr">
        <x:is>
          <x:t xml:space="preserve">RESULT</x:t>
        </x:is>
      </x:c>
      <x:c r="B241" s="1" t="inlineStr">
        <x:is>
          <x:t xml:space="preserve">Round1</x:t>
        </x:is>
      </x:c>
      <x:c r="C241" s="1" t="inlineStr">
        <x:is>
          <x:t xml:space="preserve">Codec_11</x:t>
        </x:is>
      </x:c>
      <x:c r="D241" s="1" t="inlineStr">
        <x:is>
          <x:t xml:space="preserve">NOT_AVAILABLE</x:t>
        </x:is>
      </x:c>
      <x:c r="E241" s="5"/>
      <x:c r="F241" s="4">
        <x:v>0</x:v>
      </x:c>
      <x:c r="G241" s="4">
        <x:v>6769</x:v>
      </x:c>
      <x:c r="H241" s="6">
        <x:v>80.11</x:v>
      </x:c>
      <x:c r="I241" s="16">
        <x:v>1</x:v>
      </x:c>
      <x:c r="J241"/>
      <x:c r="K241" s="4"/>
      <x:c r="L241" s="4"/>
      <x:c r="M241" s="4"/>
      <x:c r="N241" s="5"/>
    </x:row>
    <x:row r="242" ht="24" customHeight="1">
      <x:c r="A242" s="1" t="inlineStr">
        <x:is>
          <x:t xml:space="preserve">RESULT</x:t>
        </x:is>
      </x:c>
      <x:c r="B242" s="1" t="inlineStr">
        <x:is>
          <x:t xml:space="preserve">Round1</x:t>
        </x:is>
      </x:c>
      <x:c r="C242" s="1" t="inlineStr">
        <x:is>
          <x:t xml:space="preserve">Codec_12</x:t>
        </x:is>
      </x:c>
      <x:c r="D242" s="1" t="inlineStr">
        <x:is>
          <x:t xml:space="preserve">NOT_AVAILABLE</x:t>
        </x:is>
      </x:c>
      <x:c r="E242" s="5"/>
      <x:c r="F242" s="4">
        <x:v>0</x:v>
      </x:c>
      <x:c r="G242" s="4">
        <x:v>4311</x:v>
      </x:c>
      <x:c r="H242" s="6">
        <x:v>75.43</x:v>
      </x:c>
      <x:c r="I242" s="16">
        <x:v>1</x:v>
      </x:c>
      <x:c r="J242"/>
      <x:c r="K242" s="4"/>
      <x:c r="L242" s="4"/>
      <x:c r="M242" s="4"/>
      <x:c r="N242" s="5"/>
    </x:row>
    <x:row r="243" ht="24" customHeight="1">
      <x:c r="A243" s="1" t="inlineStr">
        <x:is>
          <x:t xml:space="preserve">RESULT</x:t>
        </x:is>
      </x:c>
      <x:c r="B243" s="1" t="inlineStr">
        <x:is>
          <x:t xml:space="preserve">Round1</x:t>
        </x:is>
      </x:c>
      <x:c r="C243" s="1" t="inlineStr">
        <x:is>
          <x:t xml:space="preserve">Codec_13</x:t>
        </x:is>
      </x:c>
      <x:c r="D243" s="1" t="inlineStr">
        <x:is>
          <x:t xml:space="preserve">NOT_AVAILABLE</x:t>
        </x:is>
      </x:c>
      <x:c r="E243" s="5"/>
      <x:c r="F243" s="4">
        <x:v>0</x:v>
      </x:c>
      <x:c r="G243" s="4">
        <x:v>15891</x:v>
      </x:c>
      <x:c r="H243" s="6">
        <x:v>93.89</x:v>
      </x:c>
      <x:c r="I243" s="16">
        <x:v>1</x:v>
      </x:c>
      <x:c r="J243"/>
      <x:c r="K243" s="4"/>
      <x:c r="L243" s="4"/>
      <x:c r="M243" s="4"/>
      <x:c r="N243" s="5"/>
    </x:row>
    <x:row r="244" ht="24" customHeight="1">
      <x:c r="A244" s="1" t="inlineStr">
        <x:is>
          <x:t xml:space="preserve">RESULT</x:t>
        </x:is>
      </x:c>
      <x:c r="B244" s="1" t="inlineStr">
        <x:is>
          <x:t xml:space="preserve">Round1</x:t>
        </x:is>
      </x:c>
      <x:c r="C244" s="1" t="inlineStr">
        <x:is>
          <x:t xml:space="preserve">Codec_14</x:t>
        </x:is>
      </x:c>
      <x:c r="D244" s="1" t="inlineStr">
        <x:is>
          <x:t xml:space="preserve">NOT_AVAILABLE</x:t>
        </x:is>
      </x:c>
      <x:c r="E244" s="5"/>
      <x:c r="F244" s="4">
        <x:v>0</x:v>
      </x:c>
      <x:c r="G244" s="4">
        <x:v>19743</x:v>
      </x:c>
      <x:c r="H244" s="6">
        <x:v>234.25</x:v>
      </x:c>
      <x:c r="I244" s="16">
        <x:v>1</x:v>
      </x:c>
      <x:c r="J244"/>
      <x:c r="K244" s="4"/>
      <x:c r="L244" s="4"/>
      <x:c r="M244" s="4"/>
      <x:c r="N244" s="5"/>
    </x:row>
    <x:row r="245" ht="24" customHeight="1">
      <x:c r="A245" s="1" t="inlineStr">
        <x:is>
          <x:t xml:space="preserve">RESULT</x:t>
        </x:is>
      </x:c>
      <x:c r="B245" s="1" t="inlineStr">
        <x:is>
          <x:t xml:space="preserve">Round1</x:t>
        </x:is>
      </x:c>
      <x:c r="C245" s="1" t="inlineStr">
        <x:is>
          <x:t xml:space="preserve">Codec_15</x:t>
        </x:is>
      </x:c>
      <x:c r="D245" s="1" t="inlineStr">
        <x:is>
          <x:t xml:space="preserve">NOT_AVAILABLE</x:t>
        </x:is>
      </x:c>
      <x:c r="E245" s="5"/>
      <x:c r="F245" s="4">
        <x:v>0</x:v>
      </x:c>
      <x:c r="G245" s="4">
        <x:v>4299</x:v>
      </x:c>
      <x:c r="H245" s="6">
        <x:v>28.58</x:v>
      </x:c>
      <x:c r="I245" s="16">
        <x:v>1</x:v>
      </x:c>
      <x:c r="J245"/>
      <x:c r="K245" s="4"/>
      <x:c r="L245" s="4"/>
      <x:c r="M245" s="4"/>
      <x:c r="N245" s="5"/>
    </x:row>
    <x:row r="246" ht="24" customHeight="1">
      <x:c r="A246" s="1" t="inlineStr">
        <x:is>
          <x:t xml:space="preserve">RESULT</x:t>
        </x:is>
      </x:c>
      <x:c r="B246" s="1" t="inlineStr">
        <x:is>
          <x:t xml:space="preserve">Round1</x:t>
        </x:is>
      </x:c>
      <x:c r="C246" s="1" t="inlineStr">
        <x:is>
          <x:t xml:space="preserve">Codec_16</x:t>
        </x:is>
      </x:c>
      <x:c r="D246" s="1" t="inlineStr">
        <x:is>
          <x:t xml:space="preserve">NOT_AVAILABLE</x:t>
        </x:is>
      </x:c>
      <x:c r="E246" s="5"/>
      <x:c r="F246" s="4">
        <x:v>0</x:v>
      </x:c>
      <x:c r="G246" s="4">
        <x:v>8027</x:v>
      </x:c>
      <x:c r="H246" s="6">
        <x:v>126.74</x:v>
      </x:c>
      <x:c r="I246" s="16">
        <x:v>1</x:v>
      </x:c>
      <x:c r="J246"/>
      <x:c r="K246" s="4"/>
      <x:c r="L246" s="4"/>
      <x:c r="M246" s="4"/>
      <x:c r="N246" s="5"/>
    </x:row>
    <x:row r="247" ht="24" customHeight="1">
      <x:c r="A247" s="1" t="inlineStr">
        <x:is>
          <x:t xml:space="preserve">RESULT</x:t>
        </x:is>
      </x:c>
      <x:c r="B247" s="1" t="inlineStr">
        <x:is>
          <x:t xml:space="preserve">Round1</x:t>
        </x:is>
      </x:c>
      <x:c r="C247" s="1" t="inlineStr">
        <x:is>
          <x:t xml:space="preserve">Codec_17</x:t>
        </x:is>
      </x:c>
      <x:c r="D247" s="1" t="inlineStr">
        <x:is>
          <x:t xml:space="preserve">NOT_AVAILABLE</x:t>
        </x:is>
      </x:c>
      <x:c r="E247" s="5"/>
      <x:c r="F247" s="4">
        <x:v>0</x:v>
      </x:c>
      <x:c r="G247" s="4">
        <x:v>7468</x:v>
      </x:c>
      <x:c r="H247" s="6">
        <x:v>58.76</x:v>
      </x:c>
      <x:c r="I247" s="16">
        <x:v>1</x:v>
      </x:c>
      <x:c r="J247"/>
      <x:c r="K247" s="4"/>
      <x:c r="L247" s="4"/>
      <x:c r="M247" s="4"/>
      <x:c r="N247" s="5"/>
    </x:row>
    <x:row r="248" ht="24" customHeight="1">
      <x:c r="A248" s="1" t="inlineStr">
        <x:is>
          <x:t xml:space="preserve">RESULT</x:t>
        </x:is>
      </x:c>
      <x:c r="B248" s="1" t="inlineStr">
        <x:is>
          <x:t xml:space="preserve">Round1</x:t>
        </x:is>
      </x:c>
      <x:c r="C248" s="1" t="inlineStr">
        <x:is>
          <x:t xml:space="preserve">Codec_18</x:t>
        </x:is>
      </x:c>
      <x:c r="D248" s="1" t="inlineStr">
        <x:is>
          <x:t xml:space="preserve">NOT_AVAILABLE</x:t>
        </x:is>
      </x:c>
      <x:c r="E248" s="5"/>
      <x:c r="F248" s="4">
        <x:v>0</x:v>
      </x:c>
      <x:c r="G248" s="4">
        <x:v>7806</x:v>
      </x:c>
      <x:c r="H248" s="6">
        <x:v>72.0</x:v>
      </x:c>
      <x:c r="I248" s="16">
        <x:v>1</x:v>
      </x:c>
      <x:c r="J248"/>
      <x:c r="K248" s="4"/>
      <x:c r="L248" s="4"/>
      <x:c r="M248" s="4"/>
      <x:c r="N248" s="5"/>
    </x:row>
    <x:row r="249" ht="24" customHeight="1">
      <x:c r="A249" s="1" t="inlineStr">
        <x:is>
          <x:t xml:space="preserve">RESULT</x:t>
        </x:is>
      </x:c>
      <x:c r="B249" s="1" t="inlineStr">
        <x:is>
          <x:t xml:space="preserve">Round1</x:t>
        </x:is>
      </x:c>
      <x:c r="C249" s="1" t="inlineStr">
        <x:is>
          <x:t xml:space="preserve">Codec_2</x:t>
        </x:is>
      </x:c>
      <x:c r="D249" s="1" t="inlineStr">
        <x:is>
          <x:t xml:space="preserve">INCONCLUSIVE</x:t>
        </x:is>
      </x:c>
      <x:c r="E249" s="5">
        <x:v>0.8364</x:v>
      </x:c>
      <x:c r="F249" s="4">
        <x:v>0</x:v>
      </x:c>
      <x:c r="G249" s="4">
        <x:v>7064</x:v>
      </x:c>
      <x:c r="H249" s="6">
        <x:v>67.94</x:v>
      </x:c>
      <x:c r="I249" s="16">
        <x:v>1</x:v>
      </x:c>
      <x:c r="J249">
        <x:v>214</x:v>
      </x:c>
      <x:c r="K249" s="4">
        <x:v>179</x:v>
      </x:c>
      <x:c r="L249" s="4">
        <x:v>146</x:v>
      </x:c>
      <x:c r="M249" s="4">
        <x:v>102</x:v>
      </x:c>
      <x:c r="N249" s="5">
        <x:v>0.6986</x:v>
      </x:c>
    </x:row>
    <x:row r="250" ht="24" customHeight="1">
      <x:c r="A250" s="1" t="inlineStr">
        <x:is>
          <x:t xml:space="preserve">RESULT</x:t>
        </x:is>
      </x:c>
      <x:c r="B250" s="1" t="inlineStr">
        <x:is>
          <x:t xml:space="preserve">Round1</x:t>
        </x:is>
      </x:c>
      <x:c r="C250" s="1" t="inlineStr">
        <x:is>
          <x:t xml:space="preserve">Codec_3</x:t>
        </x:is>
      </x:c>
      <x:c r="D250" s="1" t="inlineStr">
        <x:is>
          <x:t xml:space="preserve">NOT_AVAILABLE</x:t>
        </x:is>
      </x:c>
      <x:c r="E250" s="5"/>
      <x:c r="F250" s="4">
        <x:v>0</x:v>
      </x:c>
      <x:c r="G250" s="4">
        <x:v>10229</x:v>
      </x:c>
      <x:c r="H250" s="6">
        <x:v>75.17</x:v>
      </x:c>
      <x:c r="I250" s="16">
        <x:v>1</x:v>
      </x:c>
      <x:c r="J250"/>
      <x:c r="K250" s="4"/>
      <x:c r="L250" s="4"/>
      <x:c r="M250" s="4"/>
      <x:c r="N250" s="5"/>
    </x:row>
    <x:row r="251" ht="24" customHeight="1">
      <x:c r="A251" s="1" t="inlineStr">
        <x:is>
          <x:t xml:space="preserve">RESULT</x:t>
        </x:is>
      </x:c>
      <x:c r="B251" s="1" t="inlineStr">
        <x:is>
          <x:t xml:space="preserve">Round1</x:t>
        </x:is>
      </x:c>
      <x:c r="C251" s="1" t="inlineStr">
        <x:is>
          <x:t xml:space="preserve">Codec_4</x:t>
        </x:is>
      </x:c>
      <x:c r="D251" s="1" t="inlineStr">
        <x:is>
          <x:t xml:space="preserve">NOT_AVAILABLE</x:t>
        </x:is>
      </x:c>
      <x:c r="E251" s="5"/>
      <x:c r="F251" s="4">
        <x:v>0</x:v>
      </x:c>
      <x:c r="G251" s="4">
        <x:v>7737</x:v>
      </x:c>
      <x:c r="H251" s="6">
        <x:v>82.44</x:v>
      </x:c>
      <x:c r="I251" s="16">
        <x:v>1</x:v>
      </x:c>
      <x:c r="J251"/>
      <x:c r="K251" s="4"/>
      <x:c r="L251" s="4"/>
      <x:c r="M251" s="4"/>
      <x:c r="N251" s="5"/>
    </x:row>
    <x:row r="252" ht="24" customHeight="1">
      <x:c r="A252" s="1" t="inlineStr">
        <x:is>
          <x:t xml:space="preserve">RESULT</x:t>
        </x:is>
      </x:c>
      <x:c r="B252" s="1" t="inlineStr">
        <x:is>
          <x:t xml:space="preserve">Round1</x:t>
        </x:is>
      </x:c>
      <x:c r="C252" s="1" t="inlineStr">
        <x:is>
          <x:t xml:space="preserve">Codec_5</x:t>
        </x:is>
      </x:c>
      <x:c r="D252" s="1" t="inlineStr">
        <x:is>
          <x:t xml:space="preserve">INCONCLUSIVE</x:t>
        </x:is>
      </x:c>
      <x:c r="E252" s="5">
        <x:v>0.8831</x:v>
      </x:c>
      <x:c r="F252" s="4">
        <x:v>0</x:v>
      </x:c>
      <x:c r="G252" s="4">
        <x:v>7735</x:v>
      </x:c>
      <x:c r="H252" s="6">
        <x:v>80.94</x:v>
      </x:c>
      <x:c r="I252" s="16">
        <x:v>1</x:v>
      </x:c>
      <x:c r="J252">
        <x:v>231</x:v>
      </x:c>
      <x:c r="K252" s="4">
        <x:v>204</x:v>
      </x:c>
      <x:c r="L252" s="4">
        <x:v>158</x:v>
      </x:c>
      <x:c r="M252" s="4">
        <x:v>117</x:v>
      </x:c>
      <x:c r="N252" s="5">
        <x:v>0.7404999999999999</x:v>
      </x:c>
    </x:row>
    <x:row r="253" ht="24" customHeight="1">
      <x:c r="A253" s="1" t="inlineStr">
        <x:is>
          <x:t xml:space="preserve">RESULT</x:t>
        </x:is>
      </x:c>
      <x:c r="B253" s="1" t="inlineStr">
        <x:is>
          <x:t xml:space="preserve">Round1</x:t>
        </x:is>
      </x:c>
      <x:c r="C253" s="1" t="inlineStr">
        <x:is>
          <x:t xml:space="preserve">Codec_6</x:t>
        </x:is>
      </x:c>
      <x:c r="D253" s="1" t="inlineStr">
        <x:is>
          <x:t xml:space="preserve">NOT_AVAILABLE</x:t>
        </x:is>
      </x:c>
      <x:c r="E253" s="5"/>
      <x:c r="F253" s="4">
        <x:v>0</x:v>
      </x:c>
      <x:c r="G253" s="4">
        <x:v>4269</x:v>
      </x:c>
      <x:c r="H253" s="6">
        <x:v>52.2</x:v>
      </x:c>
      <x:c r="I253" s="16">
        <x:v>1</x:v>
      </x:c>
      <x:c r="J253"/>
      <x:c r="K253" s="4"/>
      <x:c r="L253" s="4"/>
      <x:c r="M253" s="4"/>
      <x:c r="N253" s="5"/>
    </x:row>
    <x:row r="254" ht="24" customHeight="1">
      <x:c r="A254" s="1" t="inlineStr">
        <x:is>
          <x:t xml:space="preserve">RESULT</x:t>
        </x:is>
      </x:c>
      <x:c r="B254" s="1" t="inlineStr">
        <x:is>
          <x:t xml:space="preserve">Round1</x:t>
        </x:is>
      </x:c>
      <x:c r="C254" s="1" t="inlineStr">
        <x:is>
          <x:t xml:space="preserve">Codec_7</x:t>
        </x:is>
      </x:c>
      <x:c r="D254" s="1" t="inlineStr">
        <x:is>
          <x:t xml:space="preserve">INCONCLUSIVE</x:t>
        </x:is>
      </x:c>
      <x:c r="E254" s="5">
        <x:v>0.8412000000000001</x:v>
      </x:c>
      <x:c r="F254" s="4">
        <x:v>0</x:v>
      </x:c>
      <x:c r="G254" s="4">
        <x:v>8632</x:v>
      </x:c>
      <x:c r="H254" s="6">
        <x:v>116.99</x:v>
      </x:c>
      <x:c r="I254" s="16">
        <x:v>1</x:v>
      </x:c>
      <x:c r="J254">
        <x:v>233</x:v>
      </x:c>
      <x:c r="K254" s="4">
        <x:v>196</x:v>
      </x:c>
      <x:c r="L254" s="4">
        <x:v>162</x:v>
      </x:c>
      <x:c r="M254" s="4">
        <x:v>119</x:v>
      </x:c>
      <x:c r="N254" s="5">
        <x:v>0.7345999999999999</x:v>
      </x:c>
    </x:row>
    <x:row r="255" ht="24" customHeight="1">
      <x:c r="A255" s="1" t="inlineStr">
        <x:is>
          <x:t xml:space="preserve">RESULT</x:t>
        </x:is>
      </x:c>
      <x:c r="B255" s="1" t="inlineStr">
        <x:is>
          <x:t xml:space="preserve">Round1</x:t>
        </x:is>
      </x:c>
      <x:c r="C255" s="1" t="inlineStr">
        <x:is>
          <x:t xml:space="preserve">Codec_8</x:t>
        </x:is>
      </x:c>
      <x:c r="D255" s="1" t="inlineStr">
        <x:is>
          <x:t xml:space="preserve">INCONCLUSIVE</x:t>
        </x:is>
      </x:c>
      <x:c r="E255" s="5">
        <x:v>0.8621</x:v>
      </x:c>
      <x:c r="F255" s="4">
        <x:v>0</x:v>
      </x:c>
      <x:c r="G255" s="4">
        <x:v>13249</x:v>
      </x:c>
      <x:c r="H255" s="6">
        <x:v>186.92</x:v>
      </x:c>
      <x:c r="I255" s="16">
        <x:v>1</x:v>
      </x:c>
      <x:c r="J255">
        <x:v>261</x:v>
      </x:c>
      <x:c r="K255" s="4">
        <x:v>225</x:v>
      </x:c>
      <x:c r="L255" s="4">
        <x:v>186</x:v>
      </x:c>
      <x:c r="M255" s="4">
        <x:v>145</x:v>
      </x:c>
      <x:c r="N255" s="5">
        <x:v>0.7796</x:v>
      </x:c>
    </x:row>
    <x:row r="256" ht="24" customHeight="1">
      <x:c r="A256" s="1" t="inlineStr">
        <x:is>
          <x:t xml:space="preserve">RESULT</x:t>
        </x:is>
      </x:c>
      <x:c r="B256" s="1" t="inlineStr">
        <x:is>
          <x:t xml:space="preserve">Round1</x:t>
        </x:is>
      </x:c>
      <x:c r="C256" s="1" t="inlineStr">
        <x:is>
          <x:t xml:space="preserve">Codec_9</x:t>
        </x:is>
      </x:c>
      <x:c r="D256" s="1" t="inlineStr">
        <x:is>
          <x:t xml:space="preserve">NOT_AVAILABLE</x:t>
        </x:is>
      </x:c>
      <x:c r="E256" s="5"/>
      <x:c r="F256" s="4">
        <x:v>0</x:v>
      </x:c>
      <x:c r="G256" s="4">
        <x:v>9382</x:v>
      </x:c>
      <x:c r="H256" s="6">
        <x:v>150.2</x:v>
      </x:c>
      <x:c r="I256" s="16">
        <x:v>1</x:v>
      </x:c>
      <x:c r="J256"/>
      <x:c r="K256" s="4"/>
      <x:c r="L256" s="4"/>
      <x:c r="M256" s="4"/>
      <x:c r="N256" s="5"/>
    </x:row>
    <x:row r="257" ht="24" customHeight="1">
      <x:c r="A257" s="1" t="inlineStr">
        <x:is>
          <x:t xml:space="preserve">RESULT</x:t>
        </x:is>
      </x:c>
      <x:c r="B257" s="1" t="inlineStr">
        <x:is>
          <x:t xml:space="preserve">Round1</x:t>
        </x:is>
      </x:c>
      <x:c r="C257" s="1" t="inlineStr">
        <x:is>
          <x:t xml:space="preserve">Collections_1</x:t>
        </x:is>
      </x:c>
      <x:c r="D257" s="1" t="inlineStr">
        <x:is>
          <x:t xml:space="preserve">NOT_AVAILABLE</x:t>
        </x:is>
      </x:c>
      <x:c r="E257" s="5"/>
      <x:c r="F257" s="4">
        <x:v>0</x:v>
      </x:c>
      <x:c r="G257" s="4">
        <x:v>8600</x:v>
      </x:c>
      <x:c r="H257" s="6">
        <x:v>89.25</x:v>
      </x:c>
      <x:c r="I257" s="16">
        <x:v>1</x:v>
      </x:c>
      <x:c r="J257"/>
      <x:c r="K257" s="4"/>
      <x:c r="L257" s="4"/>
      <x:c r="M257" s="4"/>
      <x:c r="N257" s="5"/>
    </x:row>
    <x:row r="258" ht="24" customHeight="1">
      <x:c r="A258" s="1" t="inlineStr">
        <x:is>
          <x:t xml:space="preserve">RESULT</x:t>
        </x:is>
      </x:c>
      <x:c r="B258" s="1" t="inlineStr">
        <x:is>
          <x:t xml:space="preserve">Round1</x:t>
        </x:is>
      </x:c>
      <x:c r="C258" s="1" t="inlineStr">
        <x:is>
          <x:t xml:space="preserve">Collections_10</x:t>
        </x:is>
      </x:c>
      <x:c r="D258" s="1" t="inlineStr">
        <x:is>
          <x:t xml:space="preserve">NOT_REVEALING</x:t>
        </x:is>
      </x:c>
      <x:c r="E258" s="5">
        <x:v>0.8571</x:v>
      </x:c>
      <x:c r="F258" s="4">
        <x:v>0</x:v>
      </x:c>
      <x:c r="G258" s="4">
        <x:v>6778</x:v>
      </x:c>
      <x:c r="H258" s="6">
        <x:v>87.2</x:v>
      </x:c>
      <x:c r="I258" s="16">
        <x:v>1</x:v>
      </x:c>
      <x:c r="J258">
        <x:v>119</x:v>
      </x:c>
      <x:c r="K258" s="4">
        <x:v>102</x:v>
      </x:c>
      <x:c r="L258" s="4">
        <x:v>48</x:v>
      </x:c>
      <x:c r="M258" s="4">
        <x:v>40</x:v>
      </x:c>
      <x:c r="N258" s="5">
        <x:v>0.8332999999999999</x:v>
      </x:c>
    </x:row>
    <x:row r="259" ht="24" customHeight="1">
      <x:c r="A259" s="1" t="inlineStr">
        <x:is>
          <x:t xml:space="preserve">RESULT</x:t>
        </x:is>
      </x:c>
      <x:c r="B259" s="1" t="inlineStr">
        <x:is>
          <x:t xml:space="preserve">Round1</x:t>
        </x:is>
      </x:c>
      <x:c r="C259" s="1" t="inlineStr">
        <x:is>
          <x:t xml:space="preserve">Collections_11</x:t>
        </x:is>
      </x:c>
      <x:c r="D259" s="1" t="inlineStr">
        <x:is>
          <x:t xml:space="preserve">INCONCLUSIVE</x:t>
        </x:is>
      </x:c>
      <x:c r="E259" s="5">
        <x:v>1.0</x:v>
      </x:c>
      <x:c r="F259" s="4">
        <x:v>0</x:v>
      </x:c>
      <x:c r="G259" s="4">
        <x:v>5865</x:v>
      </x:c>
      <x:c r="H259" s="6">
        <x:v>115.21</x:v>
      </x:c>
      <x:c r="I259" s="16">
        <x:v>1</x:v>
      </x:c>
      <x:c r="J259">
        <x:v>35</x:v>
      </x:c>
      <x:c r="K259" s="4">
        <x:v>35</x:v>
      </x:c>
      <x:c r="L259" s="4">
        <x:v>12</x:v>
      </x:c>
      <x:c r="M259" s="4">
        <x:v>12</x:v>
      </x:c>
      <x:c r="N259" s="5">
        <x:v>1.0</x:v>
      </x:c>
    </x:row>
    <x:row r="260" ht="24" customHeight="1">
      <x:c r="A260" s="1" t="inlineStr">
        <x:is>
          <x:t xml:space="preserve">RESULT</x:t>
        </x:is>
      </x:c>
      <x:c r="B260" s="1" t="inlineStr">
        <x:is>
          <x:t xml:space="preserve">Round1</x:t>
        </x:is>
      </x:c>
      <x:c r="C260" s="1" t="inlineStr">
        <x:is>
          <x:t xml:space="preserve">Collections_12</x:t>
        </x:is>
      </x:c>
      <x:c r="D260" s="1" t="inlineStr">
        <x:is>
          <x:t xml:space="preserve">NOT_AVAILABLE</x:t>
        </x:is>
      </x:c>
      <x:c r="E260" s="5"/>
      <x:c r="F260" s="4">
        <x:v>0</x:v>
      </x:c>
      <x:c r="G260" s="4">
        <x:v>13382</x:v>
      </x:c>
      <x:c r="H260" s="6">
        <x:v>256.67</x:v>
      </x:c>
      <x:c r="I260" s="16">
        <x:v>1</x:v>
      </x:c>
      <x:c r="J260"/>
      <x:c r="K260" s="4"/>
      <x:c r="L260" s="4"/>
      <x:c r="M260" s="4"/>
      <x:c r="N260" s="5"/>
    </x:row>
    <x:row r="261" ht="24" customHeight="1">
      <x:c r="A261" s="1" t="inlineStr">
        <x:is>
          <x:t xml:space="preserve">RESULT</x:t>
        </x:is>
      </x:c>
      <x:c r="B261" s="1" t="inlineStr">
        <x:is>
          <x:t xml:space="preserve">Round1</x:t>
        </x:is>
      </x:c>
      <x:c r="C261" s="1" t="inlineStr">
        <x:is>
          <x:t xml:space="preserve">Collections_13</x:t>
        </x:is>
      </x:c>
      <x:c r="D261" s="1" t="inlineStr">
        <x:is>
          <x:t xml:space="preserve">NOT_AVAILABLE</x:t>
        </x:is>
      </x:c>
      <x:c r="E261" s="5"/>
      <x:c r="F261" s="4">
        <x:v>0</x:v>
      </x:c>
      <x:c r="G261" s="4">
        <x:v>9842</x:v>
      </x:c>
      <x:c r="H261" s="6">
        <x:v>119.84</x:v>
      </x:c>
      <x:c r="I261" s="16">
        <x:v>1</x:v>
      </x:c>
      <x:c r="J261"/>
      <x:c r="K261" s="4"/>
      <x:c r="L261" s="4"/>
      <x:c r="M261" s="4"/>
      <x:c r="N261" s="5"/>
    </x:row>
    <x:row r="262" ht="24" customHeight="1">
      <x:c r="A262" s="1" t="inlineStr">
        <x:is>
          <x:t xml:space="preserve">RESULT</x:t>
        </x:is>
      </x:c>
      <x:c r="B262" s="1" t="inlineStr">
        <x:is>
          <x:t xml:space="preserve">Round1</x:t>
        </x:is>
      </x:c>
      <x:c r="C262" s="1" t="inlineStr">
        <x:is>
          <x:t xml:space="preserve">Collections_14</x:t>
        </x:is>
      </x:c>
      <x:c r="D262" s="1" t="inlineStr">
        <x:is>
          <x:t xml:space="preserve">NOT_AVAILABLE</x:t>
        </x:is>
      </x:c>
      <x:c r="E262" s="5"/>
      <x:c r="F262" s="4">
        <x:v>0</x:v>
      </x:c>
      <x:c r="G262" s="4">
        <x:v>3635</x:v>
      </x:c>
      <x:c r="H262" s="6">
        <x:v>50.17</x:v>
      </x:c>
      <x:c r="I262" s="16">
        <x:v>1</x:v>
      </x:c>
      <x:c r="J262"/>
      <x:c r="K262" s="4"/>
      <x:c r="L262" s="4"/>
      <x:c r="M262" s="4"/>
      <x:c r="N262" s="5"/>
    </x:row>
    <x:row r="263" ht="24" customHeight="1">
      <x:c r="A263" s="1" t="inlineStr">
        <x:is>
          <x:t xml:space="preserve">RESULT</x:t>
        </x:is>
      </x:c>
      <x:c r="B263" s="1" t="inlineStr">
        <x:is>
          <x:t xml:space="preserve">Round1</x:t>
        </x:is>
      </x:c>
      <x:c r="C263" s="1" t="inlineStr">
        <x:is>
          <x:t xml:space="preserve">Collections_15</x:t>
        </x:is>
      </x:c>
      <x:c r="D263" s="1" t="inlineStr">
        <x:is>
          <x:t xml:space="preserve">NOT_AVAILABLE</x:t>
        </x:is>
      </x:c>
      <x:c r="E263" s="5"/>
      <x:c r="F263" s="4">
        <x:v>0</x:v>
      </x:c>
      <x:c r="G263" s="4">
        <x:v>5295</x:v>
      </x:c>
      <x:c r="H263" s="6">
        <x:v>67.31</x:v>
      </x:c>
      <x:c r="I263" s="16">
        <x:v>1</x:v>
      </x:c>
      <x:c r="J263"/>
      <x:c r="K263" s="4"/>
      <x:c r="L263" s="4"/>
      <x:c r="M263" s="4"/>
      <x:c r="N263" s="5"/>
    </x:row>
    <x:row r="264" ht="24" customHeight="1">
      <x:c r="A264" s="1" t="inlineStr">
        <x:is>
          <x:t xml:space="preserve">RESULT</x:t>
        </x:is>
      </x:c>
      <x:c r="B264" s="1" t="inlineStr">
        <x:is>
          <x:t xml:space="preserve">Round1</x:t>
        </x:is>
      </x:c>
      <x:c r="C264" s="1" t="inlineStr">
        <x:is>
          <x:t xml:space="preserve">Collections_16</x:t>
        </x:is>
      </x:c>
      <x:c r="D264" s="1" t="inlineStr">
        <x:is>
          <x:t xml:space="preserve">NOT_AVAILABLE</x:t>
        </x:is>
      </x:c>
      <x:c r="E264" s="5"/>
      <x:c r="F264" s="4">
        <x:v>0</x:v>
      </x:c>
      <x:c r="G264" s="4">
        <x:v>5840</x:v>
      </x:c>
      <x:c r="H264" s="6">
        <x:v>92.05</x:v>
      </x:c>
      <x:c r="I264" s="16">
        <x:v>1</x:v>
      </x:c>
      <x:c r="J264"/>
      <x:c r="K264" s="4"/>
      <x:c r="L264" s="4"/>
      <x:c r="M264" s="4"/>
      <x:c r="N264" s="5"/>
    </x:row>
    <x:row r="265" ht="24" customHeight="1">
      <x:c r="A265" s="1" t="inlineStr">
        <x:is>
          <x:t xml:space="preserve">RESULT</x:t>
        </x:is>
      </x:c>
      <x:c r="B265" s="1" t="inlineStr">
        <x:is>
          <x:t xml:space="preserve">Round1</x:t>
        </x:is>
      </x:c>
      <x:c r="C265" s="1" t="inlineStr">
        <x:is>
          <x:t xml:space="preserve">Collections_17</x:t>
        </x:is>
      </x:c>
      <x:c r="D265" s="1" t="inlineStr">
        <x:is>
          <x:t xml:space="preserve">NOT_AVAILABLE</x:t>
        </x:is>
      </x:c>
      <x:c r="E265" s="5"/>
      <x:c r="F265" s="4">
        <x:v>0</x:v>
      </x:c>
      <x:c r="G265" s="4">
        <x:v>3529</x:v>
      </x:c>
      <x:c r="H265" s="6">
        <x:v>58.78</x:v>
      </x:c>
      <x:c r="I265" s="16">
        <x:v>1</x:v>
      </x:c>
      <x:c r="J265"/>
      <x:c r="K265" s="4"/>
      <x:c r="L265" s="4"/>
      <x:c r="M265" s="4"/>
      <x:c r="N265" s="5"/>
    </x:row>
    <x:row r="266" ht="24" customHeight="1">
      <x:c r="A266" s="1" t="inlineStr">
        <x:is>
          <x:t xml:space="preserve">RESULT</x:t>
        </x:is>
      </x:c>
      <x:c r="B266" s="1" t="inlineStr">
        <x:is>
          <x:t xml:space="preserve">Round1</x:t>
        </x:is>
      </x:c>
      <x:c r="C266" s="1" t="inlineStr">
        <x:is>
          <x:t xml:space="preserve">Collections_18</x:t>
        </x:is>
      </x:c>
      <x:c r="D266" s="1" t="inlineStr">
        <x:is>
          <x:t xml:space="preserve">NOT_AVAILABLE</x:t>
        </x:is>
      </x:c>
      <x:c r="E266" s="5"/>
      <x:c r="F266" s="4">
        <x:v>0</x:v>
      </x:c>
      <x:c r="G266" s="4">
        <x:v>7451</x:v>
      </x:c>
      <x:c r="H266" s="6">
        <x:v>140.59</x:v>
      </x:c>
      <x:c r="I266" s="16">
        <x:v>1</x:v>
      </x:c>
      <x:c r="J266"/>
      <x:c r="K266" s="4"/>
      <x:c r="L266" s="4"/>
      <x:c r="M266" s="4"/>
      <x:c r="N266" s="5"/>
    </x:row>
    <x:row r="267" ht="24" customHeight="1">
      <x:c r="A267" s="1" t="inlineStr">
        <x:is>
          <x:t xml:space="preserve">RESULT</x:t>
        </x:is>
      </x:c>
      <x:c r="B267" s="1" t="inlineStr">
        <x:is>
          <x:t xml:space="preserve">Round1</x:t>
        </x:is>
      </x:c>
      <x:c r="C267" s="1" t="inlineStr">
        <x:is>
          <x:t xml:space="preserve">Collections_19</x:t>
        </x:is>
      </x:c>
      <x:c r="D267" s="1" t="inlineStr">
        <x:is>
          <x:t xml:space="preserve">NOT_AVAILABLE</x:t>
        </x:is>
      </x:c>
      <x:c r="E267" s="5"/>
      <x:c r="F267" s="4">
        <x:v>0</x:v>
      </x:c>
      <x:c r="G267" s="4">
        <x:v>6269</x:v>
      </x:c>
      <x:c r="H267" s="6">
        <x:v>83.0</x:v>
      </x:c>
      <x:c r="I267" s="16">
        <x:v>1</x:v>
      </x:c>
      <x:c r="J267"/>
      <x:c r="K267" s="4"/>
      <x:c r="L267" s="4"/>
      <x:c r="M267" s="4"/>
      <x:c r="N267" s="5"/>
    </x:row>
    <x:row r="268" ht="24" customHeight="1">
      <x:c r="A268" s="1" t="inlineStr">
        <x:is>
          <x:t xml:space="preserve">RESULT</x:t>
        </x:is>
      </x:c>
      <x:c r="B268" s="1" t="inlineStr">
        <x:is>
          <x:t xml:space="preserve">Round1</x:t>
        </x:is>
      </x:c>
      <x:c r="C268" s="1" t="inlineStr">
        <x:is>
          <x:t xml:space="preserve">Collections_2</x:t>
        </x:is>
      </x:c>
      <x:c r="D268" s="1" t="inlineStr">
        <x:is>
          <x:t xml:space="preserve">NOT_AVAILABLE</x:t>
        </x:is>
      </x:c>
      <x:c r="E268" s="5"/>
      <x:c r="F268" s="4">
        <x:v>0</x:v>
      </x:c>
      <x:c r="G268" s="4">
        <x:v>10157</x:v>
      </x:c>
      <x:c r="H268" s="6">
        <x:v>143.35</x:v>
      </x:c>
      <x:c r="I268" s="16">
        <x:v>1</x:v>
      </x:c>
      <x:c r="J268"/>
      <x:c r="K268" s="4"/>
      <x:c r="L268" s="4"/>
      <x:c r="M268" s="4"/>
      <x:c r="N268" s="5"/>
    </x:row>
    <x:row r="269" ht="24" customHeight="1">
      <x:c r="A269" s="1" t="inlineStr">
        <x:is>
          <x:t xml:space="preserve">RESULT</x:t>
        </x:is>
      </x:c>
      <x:c r="B269" s="1" t="inlineStr">
        <x:is>
          <x:t xml:space="preserve">Round1</x:t>
        </x:is>
      </x:c>
      <x:c r="C269" s="1" t="inlineStr">
        <x:is>
          <x:t xml:space="preserve">Collections_20</x:t>
        </x:is>
      </x:c>
      <x:c r="D269" s="1" t="inlineStr">
        <x:is>
          <x:t xml:space="preserve">INCONCLUSIVE</x:t>
        </x:is>
      </x:c>
      <x:c r="E269" s="5">
        <x:v>0.8123</x:v>
      </x:c>
      <x:c r="F269" s="4">
        <x:v>0</x:v>
      </x:c>
      <x:c r="G269" s="4">
        <x:v>7238</x:v>
      </x:c>
      <x:c r="H269" s="6">
        <x:v>97.23</x:v>
      </x:c>
      <x:c r="I269" s="16">
        <x:v>1</x:v>
      </x:c>
      <x:c r="J269">
        <x:v>293</x:v>
      </x:c>
      <x:c r="K269" s="4">
        <x:v>238</x:v>
      </x:c>
      <x:c r="L269" s="4">
        <x:v>154</x:v>
      </x:c>
      <x:c r="M269" s="4">
        <x:v>106</x:v>
      </x:c>
      <x:c r="N269" s="5">
        <x:v>0.6883</x:v>
      </x:c>
    </x:row>
    <x:row r="270" ht="24" customHeight="1">
      <x:c r="A270" s="1" t="inlineStr">
        <x:is>
          <x:t xml:space="preserve">RESULT</x:t>
        </x:is>
      </x:c>
      <x:c r="B270" s="1" t="inlineStr">
        <x:is>
          <x:t xml:space="preserve">Round1</x:t>
        </x:is>
      </x:c>
      <x:c r="C270" s="1" t="inlineStr">
        <x:is>
          <x:t xml:space="preserve">Collections_21</x:t>
        </x:is>
      </x:c>
      <x:c r="D270" s="1" t="inlineStr">
        <x:is>
          <x:t xml:space="preserve">NOT_REVEALING</x:t>
        </x:is>
      </x:c>
      <x:c r="E270" s="5">
        <x:v>0.9358</x:v>
      </x:c>
      <x:c r="F270" s="4">
        <x:v>0</x:v>
      </x:c>
      <x:c r="G270" s="4">
        <x:v>6692</x:v>
      </x:c>
      <x:c r="H270" s="6">
        <x:v>104.43</x:v>
      </x:c>
      <x:c r="I270" s="16">
        <x:v>1</x:v>
      </x:c>
      <x:c r="J270">
        <x:v>109</x:v>
      </x:c>
      <x:c r="K270" s="4">
        <x:v>102</x:v>
      </x:c>
      <x:c r="L270" s="4">
        <x:v>38</x:v>
      </x:c>
      <x:c r="M270" s="4">
        <x:v>36</x:v>
      </x:c>
      <x:c r="N270" s="5">
        <x:v>0.9473999999999999</x:v>
      </x:c>
    </x:row>
    <x:row r="271" ht="24" customHeight="1">
      <x:c r="A271" s="1" t="inlineStr">
        <x:is>
          <x:t xml:space="preserve">RESULT</x:t>
        </x:is>
      </x:c>
      <x:c r="B271" s="1" t="inlineStr">
        <x:is>
          <x:t xml:space="preserve">Round1</x:t>
        </x:is>
      </x:c>
      <x:c r="C271" s="1" t="inlineStr">
        <x:is>
          <x:t xml:space="preserve">Collections_22</x:t>
        </x:is>
      </x:c>
      <x:c r="D271" s="1" t="inlineStr">
        <x:is>
          <x:t xml:space="preserve">NOT_AVAILABLE</x:t>
        </x:is>
      </x:c>
      <x:c r="E271" s="5"/>
      <x:c r="F271" s="4">
        <x:v>0</x:v>
      </x:c>
      <x:c r="G271" s="4">
        <x:v>8451</x:v>
      </x:c>
      <x:c r="H271" s="6">
        <x:v>168.25</x:v>
      </x:c>
      <x:c r="I271" s="16">
        <x:v>1</x:v>
      </x:c>
      <x:c r="J271"/>
      <x:c r="K271" s="4"/>
      <x:c r="L271" s="4"/>
      <x:c r="M271" s="4"/>
      <x:c r="N271" s="5"/>
    </x:row>
    <x:row r="272" ht="24" customHeight="1">
      <x:c r="A272" s="1" t="inlineStr">
        <x:is>
          <x:t xml:space="preserve">RESULT</x:t>
        </x:is>
      </x:c>
      <x:c r="B272" s="1" t="inlineStr">
        <x:is>
          <x:t xml:space="preserve">Round1</x:t>
        </x:is>
      </x:c>
      <x:c r="C272" s="1" t="inlineStr">
        <x:is>
          <x:t xml:space="preserve">Collections_23</x:t>
        </x:is>
      </x:c>
      <x:c r="D272" s="1" t="inlineStr">
        <x:is>
          <x:t xml:space="preserve">NOT_AVAILABLE</x:t>
        </x:is>
      </x:c>
      <x:c r="E272" s="5"/>
      <x:c r="F272" s="4">
        <x:v>0</x:v>
      </x:c>
      <x:c r="G272" s="4">
        <x:v>4142</x:v>
      </x:c>
      <x:c r="H272" s="6">
        <x:v>69.05</x:v>
      </x:c>
      <x:c r="I272" s="16">
        <x:v>1</x:v>
      </x:c>
      <x:c r="J272"/>
      <x:c r="K272" s="4"/>
      <x:c r="L272" s="4"/>
      <x:c r="M272" s="4"/>
      <x:c r="N272" s="5"/>
    </x:row>
    <x:row r="273" ht="24" customHeight="1">
      <x:c r="A273" s="1" t="inlineStr">
        <x:is>
          <x:t xml:space="preserve">RESULT</x:t>
        </x:is>
      </x:c>
      <x:c r="B273" s="1" t="inlineStr">
        <x:is>
          <x:t xml:space="preserve">Round1</x:t>
        </x:is>
      </x:c>
      <x:c r="C273" s="1" t="inlineStr">
        <x:is>
          <x:t xml:space="preserve">Collections_24</x:t>
        </x:is>
      </x:c>
      <x:c r="D273" s="1" t="inlineStr">
        <x:is>
          <x:t xml:space="preserve">NOT_REVEALING</x:t>
        </x:is>
      </x:c>
      <x:c r="E273" s="5">
        <x:v>0.9615</x:v>
      </x:c>
      <x:c r="F273" s="4">
        <x:v>0</x:v>
      </x:c>
      <x:c r="G273" s="4">
        <x:v>4395</x:v>
      </x:c>
      <x:c r="H273" s="6">
        <x:v>77.99</x:v>
      </x:c>
      <x:c r="I273" s="16">
        <x:v>1</x:v>
      </x:c>
      <x:c r="J273">
        <x:v>26</x:v>
      </x:c>
      <x:c r="K273" s="4">
        <x:v>25</x:v>
      </x:c>
      <x:c r="L273" s="4">
        <x:v>12</x:v>
      </x:c>
      <x:c r="M273" s="4">
        <x:v>12</x:v>
      </x:c>
      <x:c r="N273" s="5">
        <x:v>1.0</x:v>
      </x:c>
    </x:row>
    <x:row r="274" ht="24" customHeight="1">
      <x:c r="A274" s="1" t="inlineStr">
        <x:is>
          <x:t xml:space="preserve">RESULT</x:t>
        </x:is>
      </x:c>
      <x:c r="B274" s="1" t="inlineStr">
        <x:is>
          <x:t xml:space="preserve">Round1</x:t>
        </x:is>
      </x:c>
      <x:c r="C274" s="1" t="inlineStr">
        <x:is>
          <x:t xml:space="preserve">Collections_25</x:t>
        </x:is>
      </x:c>
      <x:c r="D274" s="1" t="inlineStr">
        <x:is>
          <x:t xml:space="preserve">NOT_AVAILABLE</x:t>
        </x:is>
      </x:c>
      <x:c r="E274" s="5"/>
      <x:c r="F274" s="4">
        <x:v>0</x:v>
      </x:c>
      <x:c r="G274" s="4">
        <x:v>11072</x:v>
      </x:c>
      <x:c r="H274" s="6">
        <x:v>204.64</x:v>
      </x:c>
      <x:c r="I274" s="16">
        <x:v>1</x:v>
      </x:c>
      <x:c r="J274"/>
      <x:c r="K274" s="4"/>
      <x:c r="L274" s="4"/>
      <x:c r="M274" s="4"/>
      <x:c r="N274" s="5"/>
    </x:row>
    <x:row r="275" ht="24" customHeight="1">
      <x:c r="A275" s="1" t="inlineStr">
        <x:is>
          <x:t xml:space="preserve">RESULT</x:t>
        </x:is>
      </x:c>
      <x:c r="B275" s="1" t="inlineStr">
        <x:is>
          <x:t xml:space="preserve">Round1</x:t>
        </x:is>
      </x:c>
      <x:c r="C275" s="1" t="inlineStr">
        <x:is>
          <x:t xml:space="preserve">Collections_26</x:t>
        </x:is>
      </x:c>
      <x:c r="D275" s="1" t="inlineStr">
        <x:is>
          <x:t xml:space="preserve">NOT_REVEALING</x:t>
        </x:is>
      </x:c>
      <x:c r="E275" s="5">
        <x:v>0.9459000000000001</x:v>
      </x:c>
      <x:c r="F275" s="4">
        <x:v>0</x:v>
      </x:c>
      <x:c r="G275" s="4">
        <x:v>5333</x:v>
      </x:c>
      <x:c r="H275" s="6">
        <x:v>78.51</x:v>
      </x:c>
      <x:c r="I275" s="16">
        <x:v>1</x:v>
      </x:c>
      <x:c r="J275">
        <x:v>37</x:v>
      </x:c>
      <x:c r="K275" s="4">
        <x:v>35</x:v>
      </x:c>
      <x:c r="L275" s="4">
        <x:v>12</x:v>
      </x:c>
      <x:c r="M275" s="4">
        <x:v>12</x:v>
      </x:c>
      <x:c r="N275" s="5">
        <x:v>1.0</x:v>
      </x:c>
    </x:row>
    <x:row r="276" ht="24" customHeight="1">
      <x:c r="A276" s="1" t="inlineStr">
        <x:is>
          <x:t xml:space="preserve">RESULT</x:t>
        </x:is>
      </x:c>
      <x:c r="B276" s="1" t="inlineStr">
        <x:is>
          <x:t xml:space="preserve">Round1</x:t>
        </x:is>
      </x:c>
      <x:c r="C276" s="1" t="inlineStr">
        <x:is>
          <x:t xml:space="preserve">Collections_27</x:t>
        </x:is>
      </x:c>
      <x:c r="D276" s="1" t="inlineStr">
        <x:is>
          <x:t xml:space="preserve">INCONCLUSIVE</x:t>
        </x:is>
      </x:c>
      <x:c r="E276" s="5">
        <x:v>0.8583</x:v>
      </x:c>
      <x:c r="F276" s="4">
        <x:v>0</x:v>
      </x:c>
      <x:c r="G276" s="4">
        <x:v>7592</x:v>
      </x:c>
      <x:c r="H276" s="6">
        <x:v>76.51</x:v>
      </x:c>
      <x:c r="I276" s="16">
        <x:v>1</x:v>
      </x:c>
      <x:c r="J276">
        <x:v>127</x:v>
      </x:c>
      <x:c r="K276" s="4">
        <x:v>109</x:v>
      </x:c>
      <x:c r="L276" s="4">
        <x:v>50</x:v>
      </x:c>
      <x:c r="M276" s="4">
        <x:v>41</x:v>
      </x:c>
      <x:c r="N276" s="5">
        <x:v>0.82</x:v>
      </x:c>
    </x:row>
    <x:row r="277" ht="24" customHeight="1">
      <x:c r="A277" s="1" t="inlineStr">
        <x:is>
          <x:t xml:space="preserve">RESULT</x:t>
        </x:is>
      </x:c>
      <x:c r="B277" s="1" t="inlineStr">
        <x:is>
          <x:t xml:space="preserve">Round1</x:t>
        </x:is>
      </x:c>
      <x:c r="C277" s="1" t="inlineStr">
        <x:is>
          <x:t xml:space="preserve">Collections_28</x:t>
        </x:is>
      </x:c>
      <x:c r="D277" s="1" t="inlineStr">
        <x:is>
          <x:t xml:space="preserve">NOT_AVAILABLE</x:t>
        </x:is>
      </x:c>
      <x:c r="E277" s="5"/>
      <x:c r="F277" s="4">
        <x:v>0</x:v>
      </x:c>
      <x:c r="G277" s="4">
        <x:v>15342</x:v>
      </x:c>
      <x:c r="H277" s="6">
        <x:v>101.16</x:v>
      </x:c>
      <x:c r="I277" s="16">
        <x:v>1</x:v>
      </x:c>
      <x:c r="J277"/>
      <x:c r="K277" s="4"/>
      <x:c r="L277" s="4"/>
      <x:c r="M277" s="4"/>
      <x:c r="N277" s="5"/>
    </x:row>
    <x:row r="278" ht="24" customHeight="1">
      <x:c r="A278" s="1" t="inlineStr">
        <x:is>
          <x:t xml:space="preserve">RESULT</x:t>
        </x:is>
      </x:c>
      <x:c r="B278" s="1" t="inlineStr">
        <x:is>
          <x:t xml:space="preserve">Round1</x:t>
        </x:is>
      </x:c>
      <x:c r="C278" s="1" t="inlineStr">
        <x:is>
          <x:t xml:space="preserve">Collections_3</x:t>
        </x:is>
      </x:c>
      <x:c r="D278" s="1" t="inlineStr">
        <x:is>
          <x:t xml:space="preserve">NOT_AVAILABLE</x:t>
        </x:is>
      </x:c>
      <x:c r="E278" s="5"/>
      <x:c r="F278" s="4">
        <x:v>0</x:v>
      </x:c>
      <x:c r="G278" s="4">
        <x:v>8841</x:v>
      </x:c>
      <x:c r="H278" s="6">
        <x:v>146.29</x:v>
      </x:c>
      <x:c r="I278" s="16">
        <x:v>1</x:v>
      </x:c>
      <x:c r="J278"/>
      <x:c r="K278" s="4"/>
      <x:c r="L278" s="4"/>
      <x:c r="M278" s="4"/>
      <x:c r="N278" s="5"/>
    </x:row>
    <x:row r="279" ht="24" customHeight="1">
      <x:c r="A279" s="1" t="inlineStr">
        <x:is>
          <x:t xml:space="preserve">RESULT</x:t>
        </x:is>
      </x:c>
      <x:c r="B279" s="1" t="inlineStr">
        <x:is>
          <x:t xml:space="preserve">Round1</x:t>
        </x:is>
      </x:c>
      <x:c r="C279" s="1" t="inlineStr">
        <x:is>
          <x:t xml:space="preserve">Collections_4</x:t>
        </x:is>
      </x:c>
      <x:c r="D279" s="1" t="inlineStr">
        <x:is>
          <x:t xml:space="preserve">NOT_AVAILABLE</x:t>
        </x:is>
      </x:c>
      <x:c r="E279" s="5"/>
      <x:c r="F279" s="4">
        <x:v>0</x:v>
      </x:c>
      <x:c r="G279" s="4">
        <x:v>6869</x:v>
      </x:c>
      <x:c r="H279" s="6">
        <x:v>99.97</x:v>
      </x:c>
      <x:c r="I279" s="16">
        <x:v>1</x:v>
      </x:c>
      <x:c r="J279"/>
      <x:c r="K279" s="4"/>
      <x:c r="L279" s="4"/>
      <x:c r="M279" s="4"/>
      <x:c r="N279" s="5"/>
    </x:row>
    <x:row r="280" ht="24" customHeight="1">
      <x:c r="A280" s="1" t="inlineStr">
        <x:is>
          <x:t xml:space="preserve">RESULT</x:t>
        </x:is>
      </x:c>
      <x:c r="B280" s="1" t="inlineStr">
        <x:is>
          <x:t xml:space="preserve">Round1</x:t>
        </x:is>
      </x:c>
      <x:c r="C280" s="1" t="inlineStr">
        <x:is>
          <x:t xml:space="preserve">Collections_5</x:t>
        </x:is>
      </x:c>
      <x:c r="D280" s="1" t="inlineStr">
        <x:is>
          <x:t xml:space="preserve">INCONCLUSIVE</x:t>
        </x:is>
      </x:c>
      <x:c r="E280" s="5">
        <x:v>0.9878</x:v>
      </x:c>
      <x:c r="F280" s="4">
        <x:v>0</x:v>
      </x:c>
      <x:c r="G280" s="4">
        <x:v>6373</x:v>
      </x:c>
      <x:c r="H280" s="6">
        <x:v>113.97</x:v>
      </x:c>
      <x:c r="I280" s="16">
        <x:v>1</x:v>
      </x:c>
      <x:c r="J280">
        <x:v>82</x:v>
      </x:c>
      <x:c r="K280" s="4">
        <x:v>81</x:v>
      </x:c>
      <x:c r="L280" s="4">
        <x:v>20</x:v>
      </x:c>
      <x:c r="M280" s="4">
        <x:v>19</x:v>
      </x:c>
      <x:c r="N280" s="5">
        <x:v>0.95</x:v>
      </x:c>
    </x:row>
    <x:row r="281" ht="24" customHeight="1">
      <x:c r="A281" s="1" t="inlineStr">
        <x:is>
          <x:t xml:space="preserve">RESULT</x:t>
        </x:is>
      </x:c>
      <x:c r="B281" s="1" t="inlineStr">
        <x:is>
          <x:t xml:space="preserve">Round1</x:t>
        </x:is>
      </x:c>
      <x:c r="C281" s="1" t="inlineStr">
        <x:is>
          <x:t xml:space="preserve">Collections_6</x:t>
        </x:is>
      </x:c>
      <x:c r="D281" s="1" t="inlineStr">
        <x:is>
          <x:t xml:space="preserve">REVEALING</x:t>
        </x:is>
      </x:c>
      <x:c r="E281" s="5">
        <x:v>0.5919</x:v>
      </x:c>
      <x:c r="F281" s="4">
        <x:v>1</x:v>
      </x:c>
      <x:c r="G281" s="4">
        <x:v>9005</x:v>
      </x:c>
      <x:c r="H281" s="6">
        <x:v>98.9</x:v>
      </x:c>
      <x:c r="I281" s="16">
        <x:v>1</x:v>
      </x:c>
      <x:c r="J281">
        <x:v>495</x:v>
      </x:c>
      <x:c r="K281" s="4">
        <x:v>293</x:v>
      </x:c>
      <x:c r="L281" s="4">
        <x:v>376</x:v>
      </x:c>
      <x:c r="M281" s="4">
        <x:v>193</x:v>
      </x:c>
      <x:c r="N281" s="5">
        <x:v>0.5133</x:v>
      </x:c>
    </x:row>
    <x:row r="282" ht="24" customHeight="1">
      <x:c r="A282" s="1" t="inlineStr">
        <x:is>
          <x:t xml:space="preserve">RESULT</x:t>
        </x:is>
      </x:c>
      <x:c r="B282" s="1" t="inlineStr">
        <x:is>
          <x:t xml:space="preserve">Round1</x:t>
        </x:is>
      </x:c>
      <x:c r="C282" s="1" t="inlineStr">
        <x:is>
          <x:t xml:space="preserve">Collections_7</x:t>
        </x:is>
      </x:c>
      <x:c r="D282" s="1" t="inlineStr">
        <x:is>
          <x:t xml:space="preserve">NOT_AVAILABLE</x:t>
        </x:is>
      </x:c>
      <x:c r="E282" s="5"/>
      <x:c r="F282" s="4">
        <x:v>0</x:v>
      </x:c>
      <x:c r="G282" s="4">
        <x:v>9201</x:v>
      </x:c>
      <x:c r="H282" s="6">
        <x:v>93.19</x:v>
      </x:c>
      <x:c r="I282" s="16">
        <x:v>1</x:v>
      </x:c>
      <x:c r="J282"/>
      <x:c r="K282" s="4"/>
      <x:c r="L282" s="4"/>
      <x:c r="M282" s="4"/>
      <x:c r="N282" s="5"/>
    </x:row>
    <x:row r="283" ht="24" customHeight="1">
      <x:c r="A283" s="1" t="inlineStr">
        <x:is>
          <x:t xml:space="preserve">RESULT</x:t>
        </x:is>
      </x:c>
      <x:c r="B283" s="1" t="inlineStr">
        <x:is>
          <x:t xml:space="preserve">Round1</x:t>
        </x:is>
      </x:c>
      <x:c r="C283" s="1" t="inlineStr">
        <x:is>
          <x:t xml:space="preserve">Collections_8</x:t>
        </x:is>
      </x:c>
      <x:c r="D283" s="1" t="inlineStr">
        <x:is>
          <x:t xml:space="preserve">NOT_AVAILABLE</x:t>
        </x:is>
      </x:c>
      <x:c r="E283" s="5"/>
      <x:c r="F283" s="4">
        <x:v>0</x:v>
      </x:c>
      <x:c r="G283" s="4">
        <x:v>4859</x:v>
      </x:c>
      <x:c r="H283" s="6">
        <x:v>65.9</x:v>
      </x:c>
      <x:c r="I283" s="16">
        <x:v>1</x:v>
      </x:c>
      <x:c r="J283"/>
      <x:c r="K283" s="4"/>
      <x:c r="L283" s="4"/>
      <x:c r="M283" s="4"/>
      <x:c r="N283" s="5"/>
    </x:row>
    <x:row r="284" ht="24" customHeight="1">
      <x:c r="A284" s="1" t="inlineStr">
        <x:is>
          <x:t xml:space="preserve">RESULT</x:t>
        </x:is>
      </x:c>
      <x:c r="B284" s="1" t="inlineStr">
        <x:is>
          <x:t xml:space="preserve">Round1</x:t>
        </x:is>
      </x:c>
      <x:c r="C284" s="1" t="inlineStr">
        <x:is>
          <x:t xml:space="preserve">Collections_9</x:t>
        </x:is>
      </x:c>
      <x:c r="D284" s="1" t="inlineStr">
        <x:is>
          <x:t xml:space="preserve">NOT_AVAILABLE</x:t>
        </x:is>
      </x:c>
      <x:c r="E284" s="5"/>
      <x:c r="F284" s="4">
        <x:v>0</x:v>
      </x:c>
      <x:c r="G284" s="4">
        <x:v>12344</x:v>
      </x:c>
      <x:c r="H284" s="6">
        <x:v>224.28</x:v>
      </x:c>
      <x:c r="I284" s="16">
        <x:v>1</x:v>
      </x:c>
      <x:c r="J284"/>
      <x:c r="K284" s="4"/>
      <x:c r="L284" s="4"/>
      <x:c r="M284" s="4"/>
      <x:c r="N284" s="5"/>
    </x:row>
    <x:row r="285" ht="24" customHeight="1">
      <x:c r="A285" s="1" t="inlineStr">
        <x:is>
          <x:t xml:space="preserve">RESULT</x:t>
        </x:is>
      </x:c>
      <x:c r="B285" s="1" t="inlineStr">
        <x:is>
          <x:t xml:space="preserve">Round1</x:t>
        </x:is>
      </x:c>
      <x:c r="C285" s="1" t="inlineStr">
        <x:is>
          <x:t xml:space="preserve">Compress_1</x:t>
        </x:is>
      </x:c>
      <x:c r="D285" s="1" t="inlineStr">
        <x:is>
          <x:t xml:space="preserve">NOT_AVAILABLE</x:t>
        </x:is>
      </x:c>
      <x:c r="E285" s="5"/>
      <x:c r="F285" s="4">
        <x:v>0</x:v>
      </x:c>
      <x:c r="G285" s="4">
        <x:v>5891</x:v>
      </x:c>
      <x:c r="H285" s="6">
        <x:v>55.65</x:v>
      </x:c>
      <x:c r="I285" s="16">
        <x:v>1</x:v>
      </x:c>
      <x:c r="J285"/>
      <x:c r="K285" s="4"/>
      <x:c r="L285" s="4"/>
      <x:c r="M285" s="4"/>
      <x:c r="N285" s="5"/>
    </x:row>
    <x:row r="286" ht="24" customHeight="1">
      <x:c r="A286" s="1" t="inlineStr">
        <x:is>
          <x:t xml:space="preserve">RESULT</x:t>
        </x:is>
      </x:c>
      <x:c r="B286" s="1" t="inlineStr">
        <x:is>
          <x:t xml:space="preserve">Round1</x:t>
        </x:is>
      </x:c>
      <x:c r="C286" s="1" t="inlineStr">
        <x:is>
          <x:t xml:space="preserve">Compress_10</x:t>
        </x:is>
      </x:c>
      <x:c r="D286" s="1" t="inlineStr">
        <x:is>
          <x:t xml:space="preserve">NOT_AVAILABLE</x:t>
        </x:is>
      </x:c>
      <x:c r="E286" s="5"/>
      <x:c r="F286" s="4">
        <x:v>0</x:v>
      </x:c>
      <x:c r="G286" s="4">
        <x:v>7790</x:v>
      </x:c>
      <x:c r="H286" s="6">
        <x:v>86.81</x:v>
      </x:c>
      <x:c r="I286" s="16">
        <x:v>1</x:v>
      </x:c>
      <x:c r="J286"/>
      <x:c r="K286" s="4"/>
      <x:c r="L286" s="4"/>
      <x:c r="M286" s="4"/>
      <x:c r="N286" s="5"/>
    </x:row>
    <x:row r="287" ht="24" customHeight="1">
      <x:c r="A287" s="1" t="inlineStr">
        <x:is>
          <x:t xml:space="preserve">RESULT</x:t>
        </x:is>
      </x:c>
      <x:c r="B287" s="1" t="inlineStr">
        <x:is>
          <x:t xml:space="preserve">Round1</x:t>
        </x:is>
      </x:c>
      <x:c r="C287" s="1" t="inlineStr">
        <x:is>
          <x:t xml:space="preserve">Compress_11</x:t>
        </x:is>
      </x:c>
      <x:c r="D287" s="1" t="inlineStr">
        <x:is>
          <x:t xml:space="preserve">NOT_AVAILABLE</x:t>
        </x:is>
      </x:c>
      <x:c r="E287" s="5"/>
      <x:c r="F287" s="4">
        <x:v>0</x:v>
      </x:c>
      <x:c r="G287" s="4">
        <x:v>6034</x:v>
      </x:c>
      <x:c r="H287" s="6">
        <x:v>105.06</x:v>
      </x:c>
      <x:c r="I287" s="16">
        <x:v>1</x:v>
      </x:c>
      <x:c r="J287"/>
      <x:c r="K287" s="4"/>
      <x:c r="L287" s="4"/>
      <x:c r="M287" s="4"/>
      <x:c r="N287" s="5"/>
    </x:row>
    <x:row r="288" ht="24" customHeight="1">
      <x:c r="A288" s="1" t="inlineStr">
        <x:is>
          <x:t xml:space="preserve">RESULT</x:t>
        </x:is>
      </x:c>
      <x:c r="B288" s="1" t="inlineStr">
        <x:is>
          <x:t xml:space="preserve">Round1</x:t>
        </x:is>
      </x:c>
      <x:c r="C288" s="1" t="inlineStr">
        <x:is>
          <x:t xml:space="preserve">Compress_12</x:t>
        </x:is>
      </x:c>
      <x:c r="D288" s="1" t="inlineStr">
        <x:is>
          <x:t xml:space="preserve">NOT_AVAILABLE</x:t>
        </x:is>
      </x:c>
      <x:c r="E288" s="5"/>
      <x:c r="F288" s="4">
        <x:v>0</x:v>
      </x:c>
      <x:c r="G288" s="4">
        <x:v>8587</x:v>
      </x:c>
      <x:c r="H288" s="6">
        <x:v>130.67</x:v>
      </x:c>
      <x:c r="I288" s="16">
        <x:v>1</x:v>
      </x:c>
      <x:c r="J288"/>
      <x:c r="K288" s="4"/>
      <x:c r="L288" s="4"/>
      <x:c r="M288" s="4"/>
      <x:c r="N288" s="5"/>
    </x:row>
    <x:row r="289" ht="24" customHeight="1">
      <x:c r="A289" s="1" t="inlineStr">
        <x:is>
          <x:t xml:space="preserve">RESULT</x:t>
        </x:is>
      </x:c>
      <x:c r="B289" s="1" t="inlineStr">
        <x:is>
          <x:t xml:space="preserve">Round1</x:t>
        </x:is>
      </x:c>
      <x:c r="C289" s="1" t="inlineStr">
        <x:is>
          <x:t xml:space="preserve">Compress_13</x:t>
        </x:is>
      </x:c>
      <x:c r="D289" s="1" t="inlineStr">
        <x:is>
          <x:t xml:space="preserve">NOT_AVAILABLE</x:t>
        </x:is>
      </x:c>
      <x:c r="E289" s="5"/>
      <x:c r="F289" s="4">
        <x:v>0</x:v>
      </x:c>
      <x:c r="G289" s="4">
        <x:v>11035</x:v>
      </x:c>
      <x:c r="H289" s="6">
        <x:v>194.71</x:v>
      </x:c>
      <x:c r="I289" s="16">
        <x:v>1</x:v>
      </x:c>
      <x:c r="J289"/>
      <x:c r="K289" s="4"/>
      <x:c r="L289" s="4"/>
      <x:c r="M289" s="4"/>
      <x:c r="N289" s="5"/>
    </x:row>
    <x:row r="290" ht="24" customHeight="1">
      <x:c r="A290" s="1" t="inlineStr">
        <x:is>
          <x:t xml:space="preserve">RESULT</x:t>
        </x:is>
      </x:c>
      <x:c r="B290" s="1" t="inlineStr">
        <x:is>
          <x:t xml:space="preserve">Round1</x:t>
        </x:is>
      </x:c>
      <x:c r="C290" s="1" t="inlineStr">
        <x:is>
          <x:t xml:space="preserve">Compress_14</x:t>
        </x:is>
      </x:c>
      <x:c r="D290" s="1" t="inlineStr">
        <x:is>
          <x:t xml:space="preserve">INCONCLUSIVE</x:t>
        </x:is>
      </x:c>
      <x:c r="E290" s="5">
        <x:v>0.7228</x:v>
      </x:c>
      <x:c r="F290" s="4">
        <x:v>0</x:v>
      </x:c>
      <x:c r="G290" s="4">
        <x:v>6676</x:v>
      </x:c>
      <x:c r="H290" s="6">
        <x:v>85.25</x:v>
      </x:c>
      <x:c r="I290" s="16">
        <x:v>1</x:v>
      </x:c>
      <x:c r="J290">
        <x:v>101</x:v>
      </x:c>
      <x:c r="K290" s="4">
        <x:v>73</x:v>
      </x:c>
      <x:c r="L290" s="4">
        <x:v>66</x:v>
      </x:c>
      <x:c r="M290" s="4">
        <x:v>47</x:v>
      </x:c>
      <x:c r="N290" s="5">
        <x:v>0.7121</x:v>
      </x:c>
    </x:row>
    <x:row r="291" ht="24" customHeight="1">
      <x:c r="A291" s="1" t="inlineStr">
        <x:is>
          <x:t xml:space="preserve">RESULT</x:t>
        </x:is>
      </x:c>
      <x:c r="B291" s="1" t="inlineStr">
        <x:is>
          <x:t xml:space="preserve">Round1</x:t>
        </x:is>
      </x:c>
      <x:c r="C291" s="1" t="inlineStr">
        <x:is>
          <x:t xml:space="preserve">Compress_15</x:t>
        </x:is>
      </x:c>
      <x:c r="D291" s="1" t="inlineStr">
        <x:is>
          <x:t xml:space="preserve">NOT_AVAILABLE</x:t>
        </x:is>
      </x:c>
      <x:c r="E291" s="5"/>
      <x:c r="F291" s="4">
        <x:v>0</x:v>
      </x:c>
      <x:c r="G291" s="4">
        <x:v>9951</x:v>
      </x:c>
      <x:c r="H291" s="6">
        <x:v>152.68</x:v>
      </x:c>
      <x:c r="I291" s="16">
        <x:v>1</x:v>
      </x:c>
      <x:c r="J291"/>
      <x:c r="K291" s="4"/>
      <x:c r="L291" s="4"/>
      <x:c r="M291" s="4"/>
      <x:c r="N291" s="5"/>
    </x:row>
    <x:row r="292" ht="24" customHeight="1">
      <x:c r="A292" s="1" t="inlineStr">
        <x:is>
          <x:t xml:space="preserve">RESULT</x:t>
        </x:is>
      </x:c>
      <x:c r="B292" s="1" t="inlineStr">
        <x:is>
          <x:t xml:space="preserve">Round1</x:t>
        </x:is>
      </x:c>
      <x:c r="C292" s="1" t="inlineStr">
        <x:is>
          <x:t xml:space="preserve">Compress_16</x:t>
        </x:is>
      </x:c>
      <x:c r="D292" s="1" t="inlineStr">
        <x:is>
          <x:t xml:space="preserve">NOT_AVAILABLE</x:t>
        </x:is>
      </x:c>
      <x:c r="E292" s="5"/>
      <x:c r="F292" s="4">
        <x:v>0</x:v>
      </x:c>
      <x:c r="G292" s="4">
        <x:v>5464</x:v>
      </x:c>
      <x:c r="H292" s="6">
        <x:v>83.63</x:v>
      </x:c>
      <x:c r="I292" s="16">
        <x:v>1</x:v>
      </x:c>
      <x:c r="J292"/>
      <x:c r="K292" s="4"/>
      <x:c r="L292" s="4"/>
      <x:c r="M292" s="4"/>
      <x:c r="N292" s="5"/>
    </x:row>
    <x:row r="293" ht="24" customHeight="1">
      <x:c r="A293" s="1" t="inlineStr">
        <x:is>
          <x:t xml:space="preserve">RESULT</x:t>
        </x:is>
      </x:c>
      <x:c r="B293" s="1" t="inlineStr">
        <x:is>
          <x:t xml:space="preserve">Round1</x:t>
        </x:is>
      </x:c>
      <x:c r="C293" s="1" t="inlineStr">
        <x:is>
          <x:t xml:space="preserve">Compress_17</x:t>
        </x:is>
      </x:c>
      <x:c r="D293" s="1" t="inlineStr">
        <x:is>
          <x:t xml:space="preserve">INCONCLUSIVE</x:t>
        </x:is>
      </x:c>
      <x:c r="E293" s="5">
        <x:v>0.7206999999999999</x:v>
      </x:c>
      <x:c r="F293" s="4">
        <x:v>0</x:v>
      </x:c>
      <x:c r="G293" s="4">
        <x:v>8801</x:v>
      </x:c>
      <x:c r="H293" s="6">
        <x:v>84.98</x:v>
      </x:c>
      <x:c r="I293" s="16">
        <x:v>1</x:v>
      </x:c>
      <x:c r="J293">
        <x:v>179</x:v>
      </x:c>
      <x:c r="K293" s="4">
        <x:v>129</x:v>
      </x:c>
      <x:c r="L293" s="4">
        <x:v>116</x:v>
      </x:c>
      <x:c r="M293" s="4">
        <x:v>82</x:v>
      </x:c>
      <x:c r="N293" s="5">
        <x:v>0.7069</x:v>
      </x:c>
    </x:row>
    <x:row r="294" ht="24" customHeight="1">
      <x:c r="A294" s="1" t="inlineStr">
        <x:is>
          <x:t xml:space="preserve">RESULT</x:t>
        </x:is>
      </x:c>
      <x:c r="B294" s="1" t="inlineStr">
        <x:is>
          <x:t xml:space="preserve">Round1</x:t>
        </x:is>
      </x:c>
      <x:c r="C294" s="1" t="inlineStr">
        <x:is>
          <x:t xml:space="preserve">Compress_18</x:t>
        </x:is>
      </x:c>
      <x:c r="D294" s="1" t="inlineStr">
        <x:is>
          <x:t xml:space="preserve">NOT_AVAILABLE</x:t>
        </x:is>
      </x:c>
      <x:c r="E294" s="5"/>
      <x:c r="F294" s="4">
        <x:v>0</x:v>
      </x:c>
      <x:c r="G294" s="4">
        <x:v>10257</x:v>
      </x:c>
      <x:c r="H294" s="6">
        <x:v>166.08</x:v>
      </x:c>
      <x:c r="I294" s="16">
        <x:v>1</x:v>
      </x:c>
      <x:c r="J294"/>
      <x:c r="K294" s="4"/>
      <x:c r="L294" s="4"/>
      <x:c r="M294" s="4"/>
      <x:c r="N294" s="5"/>
    </x:row>
    <x:row r="295" ht="24" customHeight="1">
      <x:c r="A295" s="1" t="inlineStr">
        <x:is>
          <x:t xml:space="preserve">RESULT</x:t>
        </x:is>
      </x:c>
      <x:c r="B295" s="1" t="inlineStr">
        <x:is>
          <x:t xml:space="preserve">Round1</x:t>
        </x:is>
      </x:c>
      <x:c r="C295" s="1" t="inlineStr">
        <x:is>
          <x:t xml:space="preserve">Compress_19</x:t>
        </x:is>
      </x:c>
      <x:c r="D295" s="1" t="inlineStr">
        <x:is>
          <x:t xml:space="preserve">NOT_AVAILABLE</x:t>
        </x:is>
      </x:c>
      <x:c r="E295" s="5"/>
      <x:c r="F295" s="4">
        <x:v>0</x:v>
      </x:c>
      <x:c r="G295" s="4">
        <x:v>7885</x:v>
      </x:c>
      <x:c r="H295" s="6">
        <x:v>152.38</x:v>
      </x:c>
      <x:c r="I295" s="16">
        <x:v>1</x:v>
      </x:c>
      <x:c r="J295"/>
      <x:c r="K295" s="4"/>
      <x:c r="L295" s="4"/>
      <x:c r="M295" s="4"/>
      <x:c r="N295" s="5"/>
    </x:row>
    <x:row r="296" ht="24" customHeight="1">
      <x:c r="A296" s="1" t="inlineStr">
        <x:is>
          <x:t xml:space="preserve">RESULT</x:t>
        </x:is>
      </x:c>
      <x:c r="B296" s="1" t="inlineStr">
        <x:is>
          <x:t xml:space="preserve">Round1</x:t>
        </x:is>
      </x:c>
      <x:c r="C296" s="1" t="inlineStr">
        <x:is>
          <x:t xml:space="preserve">Compress_2</x:t>
        </x:is>
      </x:c>
      <x:c r="D296" s="1" t="inlineStr">
        <x:is>
          <x:t xml:space="preserve">NOT_AVAILABLE</x:t>
        </x:is>
      </x:c>
      <x:c r="E296" s="5"/>
      <x:c r="F296" s="4">
        <x:v>0</x:v>
      </x:c>
      <x:c r="G296" s="4">
        <x:v>5000</x:v>
      </x:c>
      <x:c r="H296" s="6">
        <x:v>103.85</x:v>
      </x:c>
      <x:c r="I296" s="16">
        <x:v>1</x:v>
      </x:c>
      <x:c r="J296"/>
      <x:c r="K296" s="4"/>
      <x:c r="L296" s="4"/>
      <x:c r="M296" s="4"/>
      <x:c r="N296" s="5"/>
    </x:row>
    <x:row r="297" ht="24" customHeight="1">
      <x:c r="A297" s="1" t="inlineStr">
        <x:is>
          <x:t xml:space="preserve">RESULT</x:t>
        </x:is>
      </x:c>
      <x:c r="B297" s="1" t="inlineStr">
        <x:is>
          <x:t xml:space="preserve">Round1</x:t>
        </x:is>
      </x:c>
      <x:c r="C297" s="1" t="inlineStr">
        <x:is>
          <x:t xml:space="preserve">Compress_20</x:t>
        </x:is>
      </x:c>
      <x:c r="D297" s="1" t="inlineStr">
        <x:is>
          <x:t xml:space="preserve">INCONCLUSIVE</x:t>
        </x:is>
      </x:c>
      <x:c r="E297" s="5">
        <x:v>0.39909999999999995</x:v>
      </x:c>
      <x:c r="F297" s="4">
        <x:v>0</x:v>
      </x:c>
      <x:c r="G297" s="4">
        <x:v>7081</x:v>
      </x:c>
      <x:c r="H297" s="6">
        <x:v>61.4</x:v>
      </x:c>
      <x:c r="I297" s="16">
        <x:v>1</x:v>
      </x:c>
      <x:c r="J297">
        <x:v>213</x:v>
      </x:c>
      <x:c r="K297" s="4">
        <x:v>85</x:v>
      </x:c>
      <x:c r="L297" s="4">
        <x:v>114</x:v>
      </x:c>
      <x:c r="M297" s="4">
        <x:v>33</x:v>
      </x:c>
      <x:c r="N297" s="5">
        <x:v>0.2895</x:v>
      </x:c>
    </x:row>
    <x:row r="298" ht="24" customHeight="1">
      <x:c r="A298" s="1" t="inlineStr">
        <x:is>
          <x:t xml:space="preserve">RESULT</x:t>
        </x:is>
      </x:c>
      <x:c r="B298" s="1" t="inlineStr">
        <x:is>
          <x:t xml:space="preserve">Round1</x:t>
        </x:is>
      </x:c>
      <x:c r="C298" s="1" t="inlineStr">
        <x:is>
          <x:t xml:space="preserve">Compress_21</x:t>
        </x:is>
      </x:c>
      <x:c r="D298" s="1" t="inlineStr">
        <x:is>
          <x:t xml:space="preserve">INCONCLUSIVE</x:t>
        </x:is>
      </x:c>
      <x:c r="E298" s="5">
        <x:v>0.7128</x:v>
      </x:c>
      <x:c r="F298" s="4">
        <x:v>0</x:v>
      </x:c>
      <x:c r="G298" s="4">
        <x:v>7907</x:v>
      </x:c>
      <x:c r="H298" s="6">
        <x:v>63.97</x:v>
      </x:c>
      <x:c r="I298" s="16">
        <x:v>1</x:v>
      </x:c>
      <x:c r="J298">
        <x:v>390</x:v>
      </x:c>
      <x:c r="K298" s="4">
        <x:v>278</x:v>
      </x:c>
      <x:c r="L298" s="4">
        <x:v>136</x:v>
      </x:c>
      <x:c r="M298" s="4">
        <x:v>81</x:v>
      </x:c>
      <x:c r="N298" s="5">
        <x:v>0.5956</x:v>
      </x:c>
    </x:row>
    <x:row r="299" ht="24" customHeight="1">
      <x:c r="A299" s="1" t="inlineStr">
        <x:is>
          <x:t xml:space="preserve">RESULT</x:t>
        </x:is>
      </x:c>
      <x:c r="B299" s="1" t="inlineStr">
        <x:is>
          <x:t xml:space="preserve">Round1</x:t>
        </x:is>
      </x:c>
      <x:c r="C299" s="1" t="inlineStr">
        <x:is>
          <x:t xml:space="preserve">Compress_22</x:t>
        </x:is>
      </x:c>
      <x:c r="D299" s="1" t="inlineStr">
        <x:is>
          <x:t xml:space="preserve">NOT_AVAILABLE</x:t>
        </x:is>
      </x:c>
      <x:c r="E299" s="5"/>
      <x:c r="F299" s="4">
        <x:v>0</x:v>
      </x:c>
      <x:c r="G299" s="4">
        <x:v>11074</x:v>
      </x:c>
      <x:c r="H299" s="6">
        <x:v>113.74</x:v>
      </x:c>
      <x:c r="I299" s="16">
        <x:v>1</x:v>
      </x:c>
      <x:c r="J299"/>
      <x:c r="K299" s="4"/>
      <x:c r="L299" s="4"/>
      <x:c r="M299" s="4"/>
      <x:c r="N299" s="5"/>
    </x:row>
    <x:row r="300" ht="24" customHeight="1">
      <x:c r="A300" s="1" t="inlineStr">
        <x:is>
          <x:t xml:space="preserve">RESULT</x:t>
        </x:is>
      </x:c>
      <x:c r="B300" s="1" t="inlineStr">
        <x:is>
          <x:t xml:space="preserve">Round1</x:t>
        </x:is>
      </x:c>
      <x:c r="C300" s="1" t="inlineStr">
        <x:is>
          <x:t xml:space="preserve">Compress_23</x:t>
        </x:is>
      </x:c>
      <x:c r="D300" s="1" t="inlineStr">
        <x:is>
          <x:t xml:space="preserve">NOT_AVAILABLE</x:t>
        </x:is>
      </x:c>
      <x:c r="E300" s="5"/>
      <x:c r="F300" s="4">
        <x:v>0</x:v>
      </x:c>
      <x:c r="G300" s="4">
        <x:v>7349</x:v>
      </x:c>
      <x:c r="H300" s="6">
        <x:v>151.7</x:v>
      </x:c>
      <x:c r="I300" s="16">
        <x:v>1</x:v>
      </x:c>
      <x:c r="J300"/>
      <x:c r="K300" s="4"/>
      <x:c r="L300" s="4"/>
      <x:c r="M300" s="4"/>
      <x:c r="N300" s="5"/>
    </x:row>
    <x:row r="301" ht="24" customHeight="1">
      <x:c r="A301" s="1" t="inlineStr">
        <x:is>
          <x:t xml:space="preserve">RESULT</x:t>
        </x:is>
      </x:c>
      <x:c r="B301" s="1" t="inlineStr">
        <x:is>
          <x:t xml:space="preserve">Round1</x:t>
        </x:is>
      </x:c>
      <x:c r="C301" s="1" t="inlineStr">
        <x:is>
          <x:t xml:space="preserve">Compress_24</x:t>
        </x:is>
      </x:c>
      <x:c r="D301" s="1" t="inlineStr">
        <x:is>
          <x:t xml:space="preserve">INCONCLUSIVE</x:t>
        </x:is>
      </x:c>
      <x:c r="E301" s="5">
        <x:v>0.6667000000000001</x:v>
      </x:c>
      <x:c r="F301" s="4">
        <x:v>0</x:v>
      </x:c>
      <x:c r="G301" s="4">
        <x:v>8822</x:v>
      </x:c>
      <x:c r="H301" s="6">
        <x:v>81.06</x:v>
      </x:c>
      <x:c r="I301" s="16">
        <x:v>1</x:v>
      </x:c>
      <x:c r="J301">
        <x:v>180</x:v>
      </x:c>
      <x:c r="K301" s="4">
        <x:v>120</x:v>
      </x:c>
      <x:c r="L301" s="4">
        <x:v>118</x:v>
      </x:c>
      <x:c r="M301" s="4">
        <x:v>75</x:v>
      </x:c>
      <x:c r="N301" s="5">
        <x:v>0.6356</x:v>
      </x:c>
    </x:row>
    <x:row r="302" ht="24" customHeight="1">
      <x:c r="A302" s="1" t="inlineStr">
        <x:is>
          <x:t xml:space="preserve">RESULT</x:t>
        </x:is>
      </x:c>
      <x:c r="B302" s="1" t="inlineStr">
        <x:is>
          <x:t xml:space="preserve">Round1</x:t>
        </x:is>
      </x:c>
      <x:c r="C302" s="1" t="inlineStr">
        <x:is>
          <x:t xml:space="preserve">Compress_25</x:t>
        </x:is>
      </x:c>
      <x:c r="D302" s="1" t="inlineStr">
        <x:is>
          <x:t xml:space="preserve">NOT_AVAILABLE</x:t>
        </x:is>
      </x:c>
      <x:c r="E302" s="5"/>
      <x:c r="F302" s="4">
        <x:v>0</x:v>
      </x:c>
      <x:c r="G302" s="4">
        <x:v>10663</x:v>
      </x:c>
      <x:c r="H302" s="6">
        <x:v>152.85</x:v>
      </x:c>
      <x:c r="I302" s="16">
        <x:v>1</x:v>
      </x:c>
      <x:c r="J302"/>
      <x:c r="K302" s="4"/>
      <x:c r="L302" s="4"/>
      <x:c r="M302" s="4"/>
      <x:c r="N302" s="5"/>
    </x:row>
    <x:row r="303" ht="24" customHeight="1">
      <x:c r="A303" s="1" t="inlineStr">
        <x:is>
          <x:t xml:space="preserve">RESULT</x:t>
        </x:is>
      </x:c>
      <x:c r="B303" s="1" t="inlineStr">
        <x:is>
          <x:t xml:space="preserve">Round1</x:t>
        </x:is>
      </x:c>
      <x:c r="C303" s="1" t="inlineStr">
        <x:is>
          <x:t xml:space="preserve">Compress_26</x:t>
        </x:is>
      </x:c>
      <x:c r="D303" s="1" t="inlineStr">
        <x:is>
          <x:t xml:space="preserve">NOT_AVAILABLE</x:t>
        </x:is>
      </x:c>
      <x:c r="E303" s="5"/>
      <x:c r="F303" s="4">
        <x:v>0</x:v>
      </x:c>
      <x:c r="G303" s="4">
        <x:v>5812</x:v>
      </x:c>
      <x:c r="H303" s="6">
        <x:v>123.04</x:v>
      </x:c>
      <x:c r="I303" s="16">
        <x:v>1</x:v>
      </x:c>
      <x:c r="J303"/>
      <x:c r="K303" s="4"/>
      <x:c r="L303" s="4"/>
      <x:c r="M303" s="4"/>
      <x:c r="N303" s="5"/>
    </x:row>
    <x:row r="304" ht="24" customHeight="1">
      <x:c r="A304" s="1" t="inlineStr">
        <x:is>
          <x:t xml:space="preserve">RESULT</x:t>
        </x:is>
      </x:c>
      <x:c r="B304" s="1" t="inlineStr">
        <x:is>
          <x:t xml:space="preserve">Round1</x:t>
        </x:is>
      </x:c>
      <x:c r="C304" s="1" t="inlineStr">
        <x:is>
          <x:t xml:space="preserve">Compress_27</x:t>
        </x:is>
      </x:c>
      <x:c r="D304" s="1" t="inlineStr">
        <x:is>
          <x:t xml:space="preserve">NOT_AVAILABLE</x:t>
        </x:is>
      </x:c>
      <x:c r="E304" s="5"/>
      <x:c r="F304" s="4">
        <x:v>0</x:v>
      </x:c>
      <x:c r="G304" s="4">
        <x:v>9575</x:v>
      </x:c>
      <x:c r="H304" s="6">
        <x:v>113.43</x:v>
      </x:c>
      <x:c r="I304" s="16">
        <x:v>1</x:v>
      </x:c>
      <x:c r="J304"/>
      <x:c r="K304" s="4"/>
      <x:c r="L304" s="4"/>
      <x:c r="M304" s="4"/>
      <x:c r="N304" s="5"/>
    </x:row>
    <x:row r="305" ht="24" customHeight="1">
      <x:c r="A305" s="1" t="inlineStr">
        <x:is>
          <x:t xml:space="preserve">RESULT</x:t>
        </x:is>
      </x:c>
      <x:c r="B305" s="1" t="inlineStr">
        <x:is>
          <x:t xml:space="preserve">Round1</x:t>
        </x:is>
      </x:c>
      <x:c r="C305" s="1" t="inlineStr">
        <x:is>
          <x:t xml:space="preserve">Compress_28</x:t>
        </x:is>
      </x:c>
      <x:c r="D305" s="1" t="inlineStr">
        <x:is>
          <x:t xml:space="preserve">NOT_AVAILABLE</x:t>
        </x:is>
      </x:c>
      <x:c r="E305" s="5"/>
      <x:c r="F305" s="4">
        <x:v>0</x:v>
      </x:c>
      <x:c r="G305" s="4">
        <x:v>8881</x:v>
      </x:c>
      <x:c r="H305" s="6">
        <x:v>99.67</x:v>
      </x:c>
      <x:c r="I305" s="16">
        <x:v>1</x:v>
      </x:c>
      <x:c r="J305"/>
      <x:c r="K305" s="4"/>
      <x:c r="L305" s="4"/>
      <x:c r="M305" s="4"/>
      <x:c r="N305" s="5"/>
    </x:row>
    <x:row r="306" ht="24" customHeight="1">
      <x:c r="A306" s="1" t="inlineStr">
        <x:is>
          <x:t xml:space="preserve">RESULT</x:t>
        </x:is>
      </x:c>
      <x:c r="B306" s="1" t="inlineStr">
        <x:is>
          <x:t xml:space="preserve">Round1</x:t>
        </x:is>
      </x:c>
      <x:c r="C306" s="1" t="inlineStr">
        <x:is>
          <x:t xml:space="preserve">Compress_29</x:t>
        </x:is>
      </x:c>
      <x:c r="D306" s="1" t="inlineStr">
        <x:is>
          <x:t xml:space="preserve">NOT_AVAILABLE</x:t>
        </x:is>
      </x:c>
      <x:c r="E306" s="5"/>
      <x:c r="F306" s="4">
        <x:v>0</x:v>
      </x:c>
      <x:c r="G306" s="4">
        <x:v>63088</x:v>
      </x:c>
      <x:c r="H306" s="6">
        <x:v>872.72</x:v>
      </x:c>
      <x:c r="I306" s="16">
        <x:v>1</x:v>
      </x:c>
      <x:c r="J306"/>
      <x:c r="K306" s="4"/>
      <x:c r="L306" s="4"/>
      <x:c r="M306" s="4"/>
      <x:c r="N306" s="5"/>
    </x:row>
    <x:row r="307" ht="24" customHeight="1">
      <x:c r="A307" s="1" t="inlineStr">
        <x:is>
          <x:t xml:space="preserve">RESULT</x:t>
        </x:is>
      </x:c>
      <x:c r="B307" s="1" t="inlineStr">
        <x:is>
          <x:t xml:space="preserve">Round1</x:t>
        </x:is>
      </x:c>
      <x:c r="C307" s="1" t="inlineStr">
        <x:is>
          <x:t xml:space="preserve">Compress_3</x:t>
        </x:is>
      </x:c>
      <x:c r="D307" s="1" t="inlineStr">
        <x:is>
          <x:t xml:space="preserve">NOT_AVAILABLE</x:t>
        </x:is>
      </x:c>
      <x:c r="E307" s="5"/>
      <x:c r="F307" s="4">
        <x:v>0</x:v>
      </x:c>
      <x:c r="G307" s="4">
        <x:v>6012</x:v>
      </x:c>
      <x:c r="H307" s="6">
        <x:v>88.31</x:v>
      </x:c>
      <x:c r="I307" s="16">
        <x:v>1</x:v>
      </x:c>
      <x:c r="J307"/>
      <x:c r="K307" s="4"/>
      <x:c r="L307" s="4"/>
      <x:c r="M307" s="4"/>
      <x:c r="N307" s="5"/>
    </x:row>
    <x:row r="308" ht="24" customHeight="1">
      <x:c r="A308" s="1" t="inlineStr">
        <x:is>
          <x:t xml:space="preserve">RESULT</x:t>
        </x:is>
      </x:c>
      <x:c r="B308" s="1" t="inlineStr">
        <x:is>
          <x:t xml:space="preserve">Round1</x:t>
        </x:is>
      </x:c>
      <x:c r="C308" s="1" t="inlineStr">
        <x:is>
          <x:t xml:space="preserve">Compress_30</x:t>
        </x:is>
      </x:c>
      <x:c r="D308" s="1" t="inlineStr">
        <x:is>
          <x:t xml:space="preserve">INCONCLUSIVE</x:t>
        </x:is>
      </x:c>
      <x:c r="E308" s="5">
        <x:v>0.0799</x:v>
      </x:c>
      <x:c r="F308" s="4">
        <x:v>0</x:v>
      </x:c>
      <x:c r="G308" s="4">
        <x:v>9294</x:v>
      </x:c>
      <x:c r="H308" s="6">
        <x:v>47.68</x:v>
      </x:c>
      <x:c r="I308" s="16">
        <x:v>1</x:v>
      </x:c>
      <x:c r="J308">
        <x:v>488</x:v>
      </x:c>
      <x:c r="K308" s="4">
        <x:v>39</x:v>
      </x:c>
      <x:c r="L308" s="4">
        <x:v>265</x:v>
      </x:c>
      <x:c r="M308" s="4">
        <x:v>19</x:v>
      </x:c>
      <x:c r="N308" s="5">
        <x:v>0.0717</x:v>
      </x:c>
    </x:row>
    <x:row r="309" ht="24" customHeight="1">
      <x:c r="A309" s="1" t="inlineStr">
        <x:is>
          <x:t xml:space="preserve">RESULT</x:t>
        </x:is>
      </x:c>
      <x:c r="B309" s="1" t="inlineStr">
        <x:is>
          <x:t xml:space="preserve">Round1</x:t>
        </x:is>
      </x:c>
      <x:c r="C309" s="1" t="inlineStr">
        <x:is>
          <x:t xml:space="preserve">Compress_31</x:t>
        </x:is>
      </x:c>
      <x:c r="D309" s="1" t="inlineStr">
        <x:is>
          <x:t xml:space="preserve">INCONCLUSIVE</x:t>
        </x:is>
      </x:c>
      <x:c r="E309" s="5">
        <x:v>0.6591</x:v>
      </x:c>
      <x:c r="F309" s="4">
        <x:v>0</x:v>
      </x:c>
      <x:c r="G309" s="4">
        <x:v>5998</x:v>
      </x:c>
      <x:c r="H309" s="6">
        <x:v>77.3</x:v>
      </x:c>
      <x:c r="I309" s="16">
        <x:v>1</x:v>
      </x:c>
      <x:c r="J309">
        <x:v>176</x:v>
      </x:c>
      <x:c r="K309" s="4">
        <x:v>116</x:v>
      </x:c>
      <x:c r="L309" s="4">
        <x:v>116</x:v>
      </x:c>
      <x:c r="M309" s="4">
        <x:v>73</x:v>
      </x:c>
      <x:c r="N309" s="5">
        <x:v>0.6293</x:v>
      </x:c>
    </x:row>
    <x:row r="310" ht="24" customHeight="1">
      <x:c r="A310" s="1" t="inlineStr">
        <x:is>
          <x:t xml:space="preserve">RESULT</x:t>
        </x:is>
      </x:c>
      <x:c r="B310" s="1" t="inlineStr">
        <x:is>
          <x:t xml:space="preserve">Round1</x:t>
        </x:is>
      </x:c>
      <x:c r="C310" s="1" t="inlineStr">
        <x:is>
          <x:t xml:space="preserve">Compress_32</x:t>
        </x:is>
      </x:c>
      <x:c r="D310" s="1" t="inlineStr">
        <x:is>
          <x:t xml:space="preserve">INCONCLUSIVE</x:t>
        </x:is>
      </x:c>
      <x:c r="E310" s="5">
        <x:v>0.4364</x:v>
      </x:c>
      <x:c r="F310" s="4">
        <x:v>0</x:v>
      </x:c>
      <x:c r="G310" s="4">
        <x:v>9959</x:v>
      </x:c>
      <x:c r="H310" s="6">
        <x:v>130.16</x:v>
      </x:c>
      <x:c r="I310" s="16">
        <x:v>1</x:v>
      </x:c>
      <x:c r="J310">
        <x:v>220</x:v>
      </x:c>
      <x:c r="K310" s="4">
        <x:v>96</x:v>
      </x:c>
      <x:c r="L310" s="4">
        <x:v>126</x:v>
      </x:c>
      <x:c r="M310" s="4">
        <x:v>38</x:v>
      </x:c>
      <x:c r="N310" s="5">
        <x:v>0.3016</x:v>
      </x:c>
    </x:row>
    <x:row r="311" ht="24" customHeight="1">
      <x:c r="A311" s="1" t="inlineStr">
        <x:is>
          <x:t xml:space="preserve">RESULT</x:t>
        </x:is>
      </x:c>
      <x:c r="B311" s="1" t="inlineStr">
        <x:is>
          <x:t xml:space="preserve">Round1</x:t>
        </x:is>
      </x:c>
      <x:c r="C311" s="1" t="inlineStr">
        <x:is>
          <x:t xml:space="preserve">Compress_33</x:t>
        </x:is>
      </x:c>
      <x:c r="D311" s="1" t="inlineStr">
        <x:is>
          <x:t xml:space="preserve">NOT_AVAILABLE</x:t>
        </x:is>
      </x:c>
      <x:c r="E311" s="5"/>
      <x:c r="F311" s="4">
        <x:v>0</x:v>
      </x:c>
      <x:c r="G311" s="4">
        <x:v>10273</x:v>
      </x:c>
      <x:c r="H311" s="6">
        <x:v>154.44</x:v>
      </x:c>
      <x:c r="I311" s="16">
        <x:v>1</x:v>
      </x:c>
      <x:c r="J311"/>
      <x:c r="K311" s="4"/>
      <x:c r="L311" s="4"/>
      <x:c r="M311" s="4"/>
      <x:c r="N311" s="5"/>
    </x:row>
    <x:row r="312" ht="24" customHeight="1">
      <x:c r="A312" s="1" t="inlineStr">
        <x:is>
          <x:t xml:space="preserve">RESULT</x:t>
        </x:is>
      </x:c>
      <x:c r="B312" s="1" t="inlineStr">
        <x:is>
          <x:t xml:space="preserve">Round1</x:t>
        </x:is>
      </x:c>
      <x:c r="C312" s="1" t="inlineStr">
        <x:is>
          <x:t xml:space="preserve">Compress_34</x:t>
        </x:is>
      </x:c>
      <x:c r="D312" s="1" t="inlineStr">
        <x:is>
          <x:t xml:space="preserve">NOT_AVAILABLE</x:t>
        </x:is>
      </x:c>
      <x:c r="E312" s="5"/>
      <x:c r="F312" s="4">
        <x:v>0</x:v>
      </x:c>
      <x:c r="G312" s="4">
        <x:v>6497</x:v>
      </x:c>
      <x:c r="H312" s="6">
        <x:v>90.01</x:v>
      </x:c>
      <x:c r="I312" s="16">
        <x:v>1</x:v>
      </x:c>
      <x:c r="J312"/>
      <x:c r="K312" s="4"/>
      <x:c r="L312" s="4"/>
      <x:c r="M312" s="4"/>
      <x:c r="N312" s="5"/>
    </x:row>
    <x:row r="313" ht="24" customHeight="1">
      <x:c r="A313" s="1" t="inlineStr">
        <x:is>
          <x:t xml:space="preserve">RESULT</x:t>
        </x:is>
      </x:c>
      <x:c r="B313" s="1" t="inlineStr">
        <x:is>
          <x:t xml:space="preserve">Round1</x:t>
        </x:is>
      </x:c>
      <x:c r="C313" s="1" t="inlineStr">
        <x:is>
          <x:t xml:space="preserve">Compress_35</x:t>
        </x:is>
      </x:c>
      <x:c r="D313" s="1" t="inlineStr">
        <x:is>
          <x:t xml:space="preserve">NOT_AVAILABLE</x:t>
        </x:is>
      </x:c>
      <x:c r="E313" s="5"/>
      <x:c r="F313" s="4">
        <x:v>0</x:v>
      </x:c>
      <x:c r="G313" s="4">
        <x:v>8824</x:v>
      </x:c>
      <x:c r="H313" s="6">
        <x:v>91.67</x:v>
      </x:c>
      <x:c r="I313" s="16">
        <x:v>1</x:v>
      </x:c>
      <x:c r="J313"/>
      <x:c r="K313" s="4"/>
      <x:c r="L313" s="4"/>
      <x:c r="M313" s="4"/>
      <x:c r="N313" s="5"/>
    </x:row>
    <x:row r="314" ht="24" customHeight="1">
      <x:c r="A314" s="1" t="inlineStr">
        <x:is>
          <x:t xml:space="preserve">RESULT</x:t>
        </x:is>
      </x:c>
      <x:c r="B314" s="1" t="inlineStr">
        <x:is>
          <x:t xml:space="preserve">Round1</x:t>
        </x:is>
      </x:c>
      <x:c r="C314" s="1" t="inlineStr">
        <x:is>
          <x:t xml:space="preserve">Compress_36</x:t>
        </x:is>
      </x:c>
      <x:c r="D314" s="1" t="inlineStr">
        <x:is>
          <x:t xml:space="preserve">INCONCLUSIVE</x:t>
        </x:is>
      </x:c>
      <x:c r="E314" s="5">
        <x:v>0.075</x:v>
      </x:c>
      <x:c r="F314" s="4">
        <x:v>0</x:v>
      </x:c>
      <x:c r="G314" s="4">
        <x:v>12753</x:v>
      </x:c>
      <x:c r="H314" s="6">
        <x:v>155.04</x:v>
      </x:c>
      <x:c r="I314" s="16">
        <x:v>1</x:v>
      </x:c>
      <x:c r="J314">
        <x:v>533</x:v>
      </x:c>
      <x:c r="K314" s="4">
        <x:v>40</x:v>
      </x:c>
      <x:c r="L314" s="4">
        <x:v>303</x:v>
      </x:c>
      <x:c r="M314" s="4">
        <x:v>10</x:v>
      </x:c>
      <x:c r="N314" s="5">
        <x:v>0.033</x:v>
      </x:c>
    </x:row>
    <x:row r="315" ht="24" customHeight="1">
      <x:c r="A315" s="1" t="inlineStr">
        <x:is>
          <x:t xml:space="preserve">RESULT</x:t>
        </x:is>
      </x:c>
      <x:c r="B315" s="1" t="inlineStr">
        <x:is>
          <x:t xml:space="preserve">Round1</x:t>
        </x:is>
      </x:c>
      <x:c r="C315" s="1" t="inlineStr">
        <x:is>
          <x:t xml:space="preserve">Compress_37</x:t>
        </x:is>
      </x:c>
      <x:c r="D315" s="1" t="inlineStr">
        <x:is>
          <x:t xml:space="preserve">NOT_AVAILABLE</x:t>
        </x:is>
      </x:c>
      <x:c r="E315" s="5"/>
      <x:c r="F315" s="4">
        <x:v>0</x:v>
      </x:c>
      <x:c r="G315" s="4">
        <x:v>7714</x:v>
      </x:c>
      <x:c r="H315" s="6">
        <x:v>130.04</x:v>
      </x:c>
      <x:c r="I315" s="16">
        <x:v>1</x:v>
      </x:c>
      <x:c r="J315"/>
      <x:c r="K315" s="4"/>
      <x:c r="L315" s="4"/>
      <x:c r="M315" s="4"/>
      <x:c r="N315" s="5"/>
    </x:row>
    <x:row r="316" ht="24" customHeight="1">
      <x:c r="A316" s="1" t="inlineStr">
        <x:is>
          <x:t xml:space="preserve">RESULT</x:t>
        </x:is>
      </x:c>
      <x:c r="B316" s="1" t="inlineStr">
        <x:is>
          <x:t xml:space="preserve">Round1</x:t>
        </x:is>
      </x:c>
      <x:c r="C316" s="1" t="inlineStr">
        <x:is>
          <x:t xml:space="preserve">Compress_38</x:t>
        </x:is>
      </x:c>
      <x:c r="D316" s="1" t="inlineStr">
        <x:is>
          <x:t xml:space="preserve">NOT_AVAILABLE</x:t>
        </x:is>
      </x:c>
      <x:c r="E316" s="5"/>
      <x:c r="F316" s="4">
        <x:v>0</x:v>
      </x:c>
      <x:c r="G316" s="4">
        <x:v>7465</x:v>
      </x:c>
      <x:c r="H316" s="6">
        <x:v>68.6</x:v>
      </x:c>
      <x:c r="I316" s="16">
        <x:v>1</x:v>
      </x:c>
      <x:c r="J316"/>
      <x:c r="K316" s="4"/>
      <x:c r="L316" s="4"/>
      <x:c r="M316" s="4"/>
      <x:c r="N316" s="5"/>
    </x:row>
    <x:row r="317" ht="24" customHeight="1">
      <x:c r="A317" s="1" t="inlineStr">
        <x:is>
          <x:t xml:space="preserve">RESULT</x:t>
        </x:is>
      </x:c>
      <x:c r="B317" s="1" t="inlineStr">
        <x:is>
          <x:t xml:space="preserve">Round1</x:t>
        </x:is>
      </x:c>
      <x:c r="C317" s="1" t="inlineStr">
        <x:is>
          <x:t xml:space="preserve">Compress_39</x:t>
        </x:is>
      </x:c>
      <x:c r="D317" s="1" t="inlineStr">
        <x:is>
          <x:t xml:space="preserve">NOT_AVAILABLE</x:t>
        </x:is>
      </x:c>
      <x:c r="E317" s="5"/>
      <x:c r="F317" s="4">
        <x:v>0</x:v>
      </x:c>
      <x:c r="G317" s="4">
        <x:v>5564</x:v>
      </x:c>
      <x:c r="H317" s="6">
        <x:v>79.18</x:v>
      </x:c>
      <x:c r="I317" s="16">
        <x:v>1</x:v>
      </x:c>
      <x:c r="J317"/>
      <x:c r="K317" s="4"/>
      <x:c r="L317" s="4"/>
      <x:c r="M317" s="4"/>
      <x:c r="N317" s="5"/>
    </x:row>
    <x:row r="318" ht="24" customHeight="1">
      <x:c r="A318" s="1" t="inlineStr">
        <x:is>
          <x:t xml:space="preserve">RESULT</x:t>
        </x:is>
      </x:c>
      <x:c r="B318" s="1" t="inlineStr">
        <x:is>
          <x:t xml:space="preserve">Round1</x:t>
        </x:is>
      </x:c>
      <x:c r="C318" s="1" t="inlineStr">
        <x:is>
          <x:t xml:space="preserve">Compress_4</x:t>
        </x:is>
      </x:c>
      <x:c r="D318" s="1" t="inlineStr">
        <x:is>
          <x:t xml:space="preserve">NOT_AVAILABLE</x:t>
        </x:is>
      </x:c>
      <x:c r="E318" s="5"/>
      <x:c r="F318" s="4">
        <x:v>0</x:v>
      </x:c>
      <x:c r="G318" s="4">
        <x:v>35734</x:v>
      </x:c>
      <x:c r="H318" s="6">
        <x:v>481.45</x:v>
      </x:c>
      <x:c r="I318" s="16">
        <x:v>1</x:v>
      </x:c>
      <x:c r="J318"/>
      <x:c r="K318" s="4"/>
      <x:c r="L318" s="4"/>
      <x:c r="M318" s="4"/>
      <x:c r="N318" s="5"/>
    </x:row>
    <x:row r="319" ht="24" customHeight="1">
      <x:c r="A319" s="1" t="inlineStr">
        <x:is>
          <x:t xml:space="preserve">RESULT</x:t>
        </x:is>
      </x:c>
      <x:c r="B319" s="1" t="inlineStr">
        <x:is>
          <x:t xml:space="preserve">Round1</x:t>
        </x:is>
      </x:c>
      <x:c r="C319" s="1" t="inlineStr">
        <x:is>
          <x:t xml:space="preserve">Compress_40</x:t>
        </x:is>
      </x:c>
      <x:c r="D319" s="1" t="inlineStr">
        <x:is>
          <x:t xml:space="preserve">NOT_AVAILABLE</x:t>
        </x:is>
      </x:c>
      <x:c r="E319" s="5"/>
      <x:c r="F319" s="4">
        <x:v>0</x:v>
      </x:c>
      <x:c r="G319" s="4">
        <x:v>3458</x:v>
      </x:c>
      <x:c r="H319" s="6">
        <x:v>54.63</x:v>
      </x:c>
      <x:c r="I319" s="16">
        <x:v>1</x:v>
      </x:c>
      <x:c r="J319"/>
      <x:c r="K319" s="4"/>
      <x:c r="L319" s="4"/>
      <x:c r="M319" s="4"/>
      <x:c r="N319" s="5"/>
    </x:row>
    <x:row r="320" ht="24" customHeight="1">
      <x:c r="A320" s="1" t="inlineStr">
        <x:is>
          <x:t xml:space="preserve">RESULT</x:t>
        </x:is>
      </x:c>
      <x:c r="B320" s="1" t="inlineStr">
        <x:is>
          <x:t xml:space="preserve">Round1</x:t>
        </x:is>
      </x:c>
      <x:c r="C320" s="1" t="inlineStr">
        <x:is>
          <x:t xml:space="preserve">Compress_41</x:t>
        </x:is>
      </x:c>
      <x:c r="D320" s="1" t="inlineStr">
        <x:is>
          <x:t xml:space="preserve">NOT_AVAILABLE</x:t>
        </x:is>
      </x:c>
      <x:c r="E320" s="5"/>
      <x:c r="F320" s="4">
        <x:v>0</x:v>
      </x:c>
      <x:c r="G320" s="4">
        <x:v>9960</x:v>
      </x:c>
      <x:c r="H320" s="6">
        <x:v>116.41</x:v>
      </x:c>
      <x:c r="I320" s="16">
        <x:v>1</x:v>
      </x:c>
      <x:c r="J320"/>
      <x:c r="K320" s="4"/>
      <x:c r="L320" s="4"/>
      <x:c r="M320" s="4"/>
      <x:c r="N320" s="5"/>
    </x:row>
    <x:row r="321" ht="24" customHeight="1">
      <x:c r="A321" s="1" t="inlineStr">
        <x:is>
          <x:t xml:space="preserve">RESULT</x:t>
        </x:is>
      </x:c>
      <x:c r="B321" s="1" t="inlineStr">
        <x:is>
          <x:t xml:space="preserve">Round1</x:t>
        </x:is>
      </x:c>
      <x:c r="C321" s="1" t="inlineStr">
        <x:is>
          <x:t xml:space="preserve">Compress_42</x:t>
        </x:is>
      </x:c>
      <x:c r="D321" s="1" t="inlineStr">
        <x:is>
          <x:t xml:space="preserve">NOT_AVAILABLE</x:t>
        </x:is>
      </x:c>
      <x:c r="E321" s="5"/>
      <x:c r="F321" s="4">
        <x:v>0</x:v>
      </x:c>
      <x:c r="G321" s="4">
        <x:v>8933</x:v>
      </x:c>
      <x:c r="H321" s="6">
        <x:v>110.75</x:v>
      </x:c>
      <x:c r="I321" s="16">
        <x:v>1</x:v>
      </x:c>
      <x:c r="J321"/>
      <x:c r="K321" s="4"/>
      <x:c r="L321" s="4"/>
      <x:c r="M321" s="4"/>
      <x:c r="N321" s="5"/>
    </x:row>
    <x:row r="322" ht="24" customHeight="1">
      <x:c r="A322" s="1" t="inlineStr">
        <x:is>
          <x:t xml:space="preserve">RESULT</x:t>
        </x:is>
      </x:c>
      <x:c r="B322" s="1" t="inlineStr">
        <x:is>
          <x:t xml:space="preserve">Round1</x:t>
        </x:is>
      </x:c>
      <x:c r="C322" s="1" t="inlineStr">
        <x:is>
          <x:t xml:space="preserve">Compress_43</x:t>
        </x:is>
      </x:c>
      <x:c r="D322" s="1" t="inlineStr">
        <x:is>
          <x:t xml:space="preserve">NOT_AVAILABLE</x:t>
        </x:is>
      </x:c>
      <x:c r="E322" s="5"/>
      <x:c r="F322" s="4">
        <x:v>0</x:v>
      </x:c>
      <x:c r="G322" s="4">
        <x:v>12822</x:v>
      </x:c>
      <x:c r="H322" s="6">
        <x:v>94.27</x:v>
      </x:c>
      <x:c r="I322" s="16">
        <x:v>1</x:v>
      </x:c>
      <x:c r="J322"/>
      <x:c r="K322" s="4"/>
      <x:c r="L322" s="4"/>
      <x:c r="M322" s="4"/>
      <x:c r="N322" s="5"/>
    </x:row>
    <x:row r="323" ht="24" customHeight="1">
      <x:c r="A323" s="1" t="inlineStr">
        <x:is>
          <x:t xml:space="preserve">RESULT</x:t>
        </x:is>
      </x:c>
      <x:c r="B323" s="1" t="inlineStr">
        <x:is>
          <x:t xml:space="preserve">Round1</x:t>
        </x:is>
      </x:c>
      <x:c r="C323" s="1" t="inlineStr">
        <x:is>
          <x:t xml:space="preserve">Compress_44</x:t>
        </x:is>
      </x:c>
      <x:c r="D323" s="1" t="inlineStr">
        <x:is>
          <x:t xml:space="preserve">NOT_AVAILABLE</x:t>
        </x:is>
      </x:c>
      <x:c r="E323" s="5"/>
      <x:c r="F323" s="4">
        <x:v>0</x:v>
      </x:c>
      <x:c r="G323" s="4">
        <x:v>5485</x:v>
      </x:c>
      <x:c r="H323" s="6">
        <x:v>142.91</x:v>
      </x:c>
      <x:c r="I323" s="16">
        <x:v>1</x:v>
      </x:c>
      <x:c r="J323"/>
      <x:c r="K323" s="4"/>
      <x:c r="L323" s="4"/>
      <x:c r="M323" s="4"/>
      <x:c r="N323" s="5"/>
    </x:row>
    <x:row r="324" ht="24" customHeight="1">
      <x:c r="A324" s="1" t="inlineStr">
        <x:is>
          <x:t xml:space="preserve">RESULT</x:t>
        </x:is>
      </x:c>
      <x:c r="B324" s="1" t="inlineStr">
        <x:is>
          <x:t xml:space="preserve">Round1</x:t>
        </x:is>
      </x:c>
      <x:c r="C324" s="1" t="inlineStr">
        <x:is>
          <x:t xml:space="preserve">Compress_45</x:t>
        </x:is>
      </x:c>
      <x:c r="D324" s="1" t="inlineStr">
        <x:is>
          <x:t xml:space="preserve">INCONCLUSIVE</x:t>
        </x:is>
      </x:c>
      <x:c r="E324" s="5">
        <x:v>0.6374</x:v>
      </x:c>
      <x:c r="F324" s="4">
        <x:v>0</x:v>
      </x:c>
      <x:c r="G324" s="4">
        <x:v>8859</x:v>
      </x:c>
      <x:c r="H324" s="6">
        <x:v>90.32</x:v>
      </x:c>
      <x:c r="I324" s="16">
        <x:v>1</x:v>
      </x:c>
      <x:c r="J324">
        <x:v>171</x:v>
      </x:c>
      <x:c r="K324" s="4">
        <x:v>109</x:v>
      </x:c>
      <x:c r="L324" s="4">
        <x:v>108</x:v>
      </x:c>
      <x:c r="M324" s="4">
        <x:v>66</x:v>
      </x:c>
      <x:c r="N324" s="5">
        <x:v>0.6111</x:v>
      </x:c>
    </x:row>
    <x:row r="325" ht="24" customHeight="1">
      <x:c r="A325" s="1" t="inlineStr">
        <x:is>
          <x:t xml:space="preserve">RESULT</x:t>
        </x:is>
      </x:c>
      <x:c r="B325" s="1" t="inlineStr">
        <x:is>
          <x:t xml:space="preserve">Round1</x:t>
        </x:is>
      </x:c>
      <x:c r="C325" s="1" t="inlineStr">
        <x:is>
          <x:t xml:space="preserve">Compress_46</x:t>
        </x:is>
      </x:c>
      <x:c r="D325" s="1" t="inlineStr">
        <x:is>
          <x:t xml:space="preserve">NOT_AVAILABLE</x:t>
        </x:is>
      </x:c>
      <x:c r="E325" s="5"/>
      <x:c r="F325" s="4">
        <x:v>0</x:v>
      </x:c>
      <x:c r="G325" s="4">
        <x:v>9018</x:v>
      </x:c>
      <x:c r="H325" s="6">
        <x:v>96.67</x:v>
      </x:c>
      <x:c r="I325" s="16">
        <x:v>1</x:v>
      </x:c>
      <x:c r="J325"/>
      <x:c r="K325" s="4"/>
      <x:c r="L325" s="4"/>
      <x:c r="M325" s="4"/>
      <x:c r="N325" s="5"/>
    </x:row>
    <x:row r="326" ht="24" customHeight="1">
      <x:c r="A326" s="1" t="inlineStr">
        <x:is>
          <x:t xml:space="preserve">RESULT</x:t>
        </x:is>
      </x:c>
      <x:c r="B326" s="1" t="inlineStr">
        <x:is>
          <x:t xml:space="preserve">Round1</x:t>
        </x:is>
      </x:c>
      <x:c r="C326" s="1" t="inlineStr">
        <x:is>
          <x:t xml:space="preserve">Compress_47</x:t>
        </x:is>
      </x:c>
      <x:c r="D326" s="1" t="inlineStr">
        <x:is>
          <x:t xml:space="preserve">INCONCLUSIVE</x:t>
        </x:is>
      </x:c>
      <x:c r="E326" s="5">
        <x:v>0.6557999999999999</x:v>
      </x:c>
      <x:c r="F326" s="4">
        <x:v>0</x:v>
      </x:c>
      <x:c r="G326" s="4">
        <x:v>10070</x:v>
      </x:c>
      <x:c r="H326" s="6">
        <x:v>114.35</x:v>
      </x:c>
      <x:c r="I326" s="16">
        <x:v>1</x:v>
      </x:c>
      <x:c r="J326">
        <x:v>430</x:v>
      </x:c>
      <x:c r="K326" s="4">
        <x:v>282</x:v>
      </x:c>
      <x:c r="L326" s="4">
        <x:v>273</x:v>
      </x:c>
      <x:c r="M326" s="4">
        <x:v>129</x:v>
      </x:c>
      <x:c r="N326" s="5">
        <x:v>0.4725</x:v>
      </x:c>
    </x:row>
    <x:row r="327" ht="24" customHeight="1">
      <x:c r="A327" s="1" t="inlineStr">
        <x:is>
          <x:t xml:space="preserve">RESULT</x:t>
        </x:is>
      </x:c>
      <x:c r="B327" s="1" t="inlineStr">
        <x:is>
          <x:t xml:space="preserve">Round1</x:t>
        </x:is>
      </x:c>
      <x:c r="C327" s="1" t="inlineStr">
        <x:is>
          <x:t xml:space="preserve">Compress_5</x:t>
        </x:is>
      </x:c>
      <x:c r="D327" s="1" t="inlineStr">
        <x:is>
          <x:t xml:space="preserve">NOT_AVAILABLE</x:t>
        </x:is>
      </x:c>
      <x:c r="E327" s="5"/>
      <x:c r="F327" s="4">
        <x:v>0</x:v>
      </x:c>
      <x:c r="G327" s="4">
        <x:v>7342</x:v>
      </x:c>
      <x:c r="H327" s="6">
        <x:v>138.56</x:v>
      </x:c>
      <x:c r="I327" s="16">
        <x:v>1</x:v>
      </x:c>
      <x:c r="J327"/>
      <x:c r="K327" s="4"/>
      <x:c r="L327" s="4"/>
      <x:c r="M327" s="4"/>
      <x:c r="N327" s="5"/>
    </x:row>
    <x:row r="328" ht="24" customHeight="1">
      <x:c r="A328" s="1" t="inlineStr">
        <x:is>
          <x:t xml:space="preserve">RESULT</x:t>
        </x:is>
      </x:c>
      <x:c r="B328" s="1" t="inlineStr">
        <x:is>
          <x:t xml:space="preserve">Round1</x:t>
        </x:is>
      </x:c>
      <x:c r="C328" s="1" t="inlineStr">
        <x:is>
          <x:t xml:space="preserve">Compress_6</x:t>
        </x:is>
      </x:c>
      <x:c r="D328" s="1" t="inlineStr">
        <x:is>
          <x:t xml:space="preserve">NOT_AVAILABLE</x:t>
        </x:is>
      </x:c>
      <x:c r="E328" s="5"/>
      <x:c r="F328" s="4">
        <x:v>0</x:v>
      </x:c>
      <x:c r="G328" s="4">
        <x:v>8350</x:v>
      </x:c>
      <x:c r="H328" s="6">
        <x:v>151.88</x:v>
      </x:c>
      <x:c r="I328" s="16">
        <x:v>1</x:v>
      </x:c>
      <x:c r="J328"/>
      <x:c r="K328" s="4"/>
      <x:c r="L328" s="4"/>
      <x:c r="M328" s="4"/>
      <x:c r="N328" s="5"/>
    </x:row>
    <x:row r="329" ht="24" customHeight="1">
      <x:c r="A329" s="1" t="inlineStr">
        <x:is>
          <x:t xml:space="preserve">RESULT</x:t>
        </x:is>
      </x:c>
      <x:c r="B329" s="1" t="inlineStr">
        <x:is>
          <x:t xml:space="preserve">Round1</x:t>
        </x:is>
      </x:c>
      <x:c r="C329" s="1" t="inlineStr">
        <x:is>
          <x:t xml:space="preserve">Compress_7</x:t>
        </x:is>
      </x:c>
      <x:c r="D329" s="1" t="inlineStr">
        <x:is>
          <x:t xml:space="preserve">NOT_AVAILABLE</x:t>
        </x:is>
      </x:c>
      <x:c r="E329" s="5"/>
      <x:c r="F329" s="4">
        <x:v>0</x:v>
      </x:c>
      <x:c r="G329" s="4">
        <x:v>5922</x:v>
      </x:c>
      <x:c r="H329" s="6">
        <x:v>102.76</x:v>
      </x:c>
      <x:c r="I329" s="16">
        <x:v>1</x:v>
      </x:c>
      <x:c r="J329"/>
      <x:c r="K329" s="4"/>
      <x:c r="L329" s="4"/>
      <x:c r="M329" s="4"/>
      <x:c r="N329" s="5"/>
    </x:row>
    <x:row r="330" ht="24" customHeight="1">
      <x:c r="A330" s="1" t="inlineStr">
        <x:is>
          <x:t xml:space="preserve">RESULT</x:t>
        </x:is>
      </x:c>
      <x:c r="B330" s="1" t="inlineStr">
        <x:is>
          <x:t xml:space="preserve">Round1</x:t>
        </x:is>
      </x:c>
      <x:c r="C330" s="1" t="inlineStr">
        <x:is>
          <x:t xml:space="preserve">Compress_8</x:t>
        </x:is>
      </x:c>
      <x:c r="D330" s="1" t="inlineStr">
        <x:is>
          <x:t xml:space="preserve">INCONCLUSIVE</x:t>
        </x:is>
      </x:c>
      <x:c r="E330" s="5">
        <x:v>0.9714</x:v>
      </x:c>
      <x:c r="F330" s="4">
        <x:v>0</x:v>
      </x:c>
      <x:c r="G330" s="4">
        <x:v>6080</x:v>
      </x:c>
      <x:c r="H330" s="6">
        <x:v>101.8</x:v>
      </x:c>
      <x:c r="I330" s="16">
        <x:v>1</x:v>
      </x:c>
      <x:c r="J330">
        <x:v>70</x:v>
      </x:c>
      <x:c r="K330" s="4">
        <x:v>68</x:v>
      </x:c>
      <x:c r="L330" s="4">
        <x:v>38</x:v>
      </x:c>
      <x:c r="M330" s="4">
        <x:v>35</x:v>
      </x:c>
      <x:c r="N330" s="5">
        <x:v>0.9211</x:v>
      </x:c>
    </x:row>
    <x:row r="331" ht="24" customHeight="1">
      <x:c r="A331" s="1" t="inlineStr">
        <x:is>
          <x:t xml:space="preserve">RESULT</x:t>
        </x:is>
      </x:c>
      <x:c r="B331" s="1" t="inlineStr">
        <x:is>
          <x:t xml:space="preserve">Round1</x:t>
        </x:is>
      </x:c>
      <x:c r="C331" s="1" t="inlineStr">
        <x:is>
          <x:t xml:space="preserve">Compress_9</x:t>
        </x:is>
      </x:c>
      <x:c r="D331" s="1" t="inlineStr">
        <x:is>
          <x:t xml:space="preserve">INCONCLUSIVE</x:t>
        </x:is>
      </x:c>
      <x:c r="E331" s="5">
        <x:v>0.7726999999999999</x:v>
      </x:c>
      <x:c r="F331" s="4">
        <x:v>0</x:v>
      </x:c>
      <x:c r="G331" s="4">
        <x:v>6099</x:v>
      </x:c>
      <x:c r="H331" s="6">
        <x:v>85.72</x:v>
      </x:c>
      <x:c r="I331" s="16">
        <x:v>1</x:v>
      </x:c>
      <x:c r="J331">
        <x:v>110</x:v>
      </x:c>
      <x:c r="K331" s="4">
        <x:v>85</x:v>
      </x:c>
      <x:c r="L331" s="4">
        <x:v>42</x:v>
      </x:c>
      <x:c r="M331" s="4">
        <x:v>35</x:v>
      </x:c>
      <x:c r="N331" s="5">
        <x:v>0.8332999999999999</x:v>
      </x:c>
    </x:row>
    <x:row r="332" ht="24" customHeight="1">
      <x:c r="A332" s="1" t="inlineStr">
        <x:is>
          <x:t xml:space="preserve">RESULT</x:t>
        </x:is>
      </x:c>
      <x:c r="B332" s="1" t="inlineStr">
        <x:is>
          <x:t xml:space="preserve">Round1</x:t>
        </x:is>
      </x:c>
      <x:c r="C332" s="1" t="inlineStr">
        <x:is>
          <x:t xml:space="preserve">Csv_1</x:t>
        </x:is>
      </x:c>
      <x:c r="D332" s="1" t="inlineStr">
        <x:is>
          <x:t xml:space="preserve">INCONCLUSIVE</x:t>
        </x:is>
      </x:c>
      <x:c r="E332" s="5">
        <x:v>1.0</x:v>
      </x:c>
      <x:c r="F332" s="4">
        <x:v>0</x:v>
      </x:c>
      <x:c r="G332" s="4">
        <x:v>4324</x:v>
      </x:c>
      <x:c r="H332" s="6">
        <x:v>94.68</x:v>
      </x:c>
      <x:c r="I332" s="16">
        <x:v>1</x:v>
      </x:c>
      <x:c r="J332">
        <x:v>37</x:v>
      </x:c>
      <x:c r="K332" s="4">
        <x:v>37</x:v>
      </x:c>
      <x:c r="L332" s="4">
        <x:v>22</x:v>
      </x:c>
      <x:c r="M332" s="4">
        <x:v>21</x:v>
      </x:c>
      <x:c r="N332" s="5">
        <x:v>0.9545</x:v>
      </x:c>
    </x:row>
    <x:row r="333" ht="24" customHeight="1">
      <x:c r="A333" s="1" t="inlineStr">
        <x:is>
          <x:t xml:space="preserve">RESULT</x:t>
        </x:is>
      </x:c>
      <x:c r="B333" s="1" t="inlineStr">
        <x:is>
          <x:t xml:space="preserve">Round1</x:t>
        </x:is>
      </x:c>
      <x:c r="C333" s="1" t="inlineStr">
        <x:is>
          <x:t xml:space="preserve">Csv_10</x:t>
        </x:is>
      </x:c>
      <x:c r="D333" s="1" t="inlineStr">
        <x:is>
          <x:t xml:space="preserve">NOT_AVAILABLE</x:t>
        </x:is>
      </x:c>
      <x:c r="E333" s="5"/>
      <x:c r="F333" s="4">
        <x:v>0</x:v>
      </x:c>
      <x:c r="G333" s="4">
        <x:v>8310</x:v>
      </x:c>
      <x:c r="H333" s="6">
        <x:v>159.11</x:v>
      </x:c>
      <x:c r="I333" s="16">
        <x:v>1</x:v>
      </x:c>
      <x:c r="J333"/>
      <x:c r="K333" s="4"/>
      <x:c r="L333" s="4"/>
      <x:c r="M333" s="4"/>
      <x:c r="N333" s="5"/>
    </x:row>
    <x:row r="334" ht="24" customHeight="1">
      <x:c r="A334" s="1" t="inlineStr">
        <x:is>
          <x:t xml:space="preserve">RESULT</x:t>
        </x:is>
      </x:c>
      <x:c r="B334" s="1" t="inlineStr">
        <x:is>
          <x:t xml:space="preserve">Round1</x:t>
        </x:is>
      </x:c>
      <x:c r="C334" s="1" t="inlineStr">
        <x:is>
          <x:t xml:space="preserve">Csv_11</x:t>
        </x:is>
      </x:c>
      <x:c r="D334" s="1" t="inlineStr">
        <x:is>
          <x:t xml:space="preserve">NOT_AVAILABLE</x:t>
        </x:is>
      </x:c>
      <x:c r="E334" s="5"/>
      <x:c r="F334" s="4">
        <x:v>0</x:v>
      </x:c>
      <x:c r="G334" s="4">
        <x:v>7685</x:v>
      </x:c>
      <x:c r="H334" s="6">
        <x:v>95.4</x:v>
      </x:c>
      <x:c r="I334" s="16">
        <x:v>1</x:v>
      </x:c>
      <x:c r="J334"/>
      <x:c r="K334" s="4"/>
      <x:c r="L334" s="4"/>
      <x:c r="M334" s="4"/>
      <x:c r="N334" s="5"/>
    </x:row>
    <x:row r="335" ht="24" customHeight="1">
      <x:c r="A335" s="1" t="inlineStr">
        <x:is>
          <x:t xml:space="preserve">RESULT</x:t>
        </x:is>
      </x:c>
      <x:c r="B335" s="1" t="inlineStr">
        <x:is>
          <x:t xml:space="preserve">Round1</x:t>
        </x:is>
      </x:c>
      <x:c r="C335" s="1" t="inlineStr">
        <x:is>
          <x:t xml:space="preserve">Csv_12</x:t>
        </x:is>
      </x:c>
      <x:c r="D335" s="1" t="inlineStr">
        <x:is>
          <x:t xml:space="preserve">INCONCLUSIVE</x:t>
        </x:is>
      </x:c>
      <x:c r="E335" s="5">
        <x:v>0.7445999999999999</x:v>
      </x:c>
      <x:c r="F335" s="4">
        <x:v>0</x:v>
      </x:c>
      <x:c r="G335" s="4">
        <x:v>7694</x:v>
      </x:c>
      <x:c r="H335" s="6">
        <x:v>118.39</x:v>
      </x:c>
      <x:c r="I335" s="16">
        <x:v>1</x:v>
      </x:c>
      <x:c r="J335">
        <x:v>184</x:v>
      </x:c>
      <x:c r="K335" s="4">
        <x:v>137</x:v>
      </x:c>
      <x:c r="L335" s="4">
        <x:v>140</x:v>
      </x:c>
      <x:c r="M335" s="4">
        <x:v>82</x:v>
      </x:c>
      <x:c r="N335" s="5">
        <x:v>0.5857</x:v>
      </x:c>
    </x:row>
    <x:row r="336" ht="24" customHeight="1">
      <x:c r="A336" s="1" t="inlineStr">
        <x:is>
          <x:t xml:space="preserve">RESULT</x:t>
        </x:is>
      </x:c>
      <x:c r="B336" s="1" t="inlineStr">
        <x:is>
          <x:t xml:space="preserve">Round1</x:t>
        </x:is>
      </x:c>
      <x:c r="C336" s="1" t="inlineStr">
        <x:is>
          <x:t xml:space="preserve">Csv_13</x:t>
        </x:is>
      </x:c>
      <x:c r="D336" s="1" t="inlineStr">
        <x:is>
          <x:t xml:space="preserve">NOT_AVAILABLE</x:t>
        </x:is>
      </x:c>
      <x:c r="E336" s="5"/>
      <x:c r="F336" s="4">
        <x:v>0</x:v>
      </x:c>
      <x:c r="G336" s="4">
        <x:v>17444</x:v>
      </x:c>
      <x:c r="H336" s="6">
        <x:v>273.54</x:v>
      </x:c>
      <x:c r="I336" s="16">
        <x:v>1</x:v>
      </x:c>
      <x:c r="J336"/>
      <x:c r="K336" s="4"/>
      <x:c r="L336" s="4"/>
      <x:c r="M336" s="4"/>
      <x:c r="N336" s="5"/>
    </x:row>
    <x:row r="337" ht="24" customHeight="1">
      <x:c r="A337" s="1" t="inlineStr">
        <x:is>
          <x:t xml:space="preserve">RESULT</x:t>
        </x:is>
      </x:c>
      <x:c r="B337" s="1" t="inlineStr">
        <x:is>
          <x:t xml:space="preserve">Round1</x:t>
        </x:is>
      </x:c>
      <x:c r="C337" s="1" t="inlineStr">
        <x:is>
          <x:t xml:space="preserve">Csv_14</x:t>
        </x:is>
      </x:c>
      <x:c r="D337" s="1" t="inlineStr">
        <x:is>
          <x:t xml:space="preserve">NOT_AVAILABLE</x:t>
        </x:is>
      </x:c>
      <x:c r="E337" s="5"/>
      <x:c r="F337" s="4">
        <x:v>0</x:v>
      </x:c>
      <x:c r="G337" s="4">
        <x:v>14033</x:v>
      </x:c>
      <x:c r="H337" s="6">
        <x:v>256.75</x:v>
      </x:c>
      <x:c r="I337" s="16">
        <x:v>1</x:v>
      </x:c>
      <x:c r="J337"/>
      <x:c r="K337" s="4"/>
      <x:c r="L337" s="4"/>
      <x:c r="M337" s="4"/>
      <x:c r="N337" s="5"/>
    </x:row>
    <x:row r="338" ht="24" customHeight="1">
      <x:c r="A338" s="1" t="inlineStr">
        <x:is>
          <x:t xml:space="preserve">RESULT</x:t>
        </x:is>
      </x:c>
      <x:c r="B338" s="1" t="inlineStr">
        <x:is>
          <x:t xml:space="preserve">Round1</x:t>
        </x:is>
      </x:c>
      <x:c r="C338" s="1" t="inlineStr">
        <x:is>
          <x:t xml:space="preserve">Csv_15</x:t>
        </x:is>
      </x:c>
      <x:c r="D338" s="1" t="inlineStr">
        <x:is>
          <x:t xml:space="preserve">NOT_AVAILABLE</x:t>
        </x:is>
      </x:c>
      <x:c r="E338" s="5"/>
      <x:c r="F338" s="4">
        <x:v>0</x:v>
      </x:c>
      <x:c r="G338" s="4">
        <x:v>15991</x:v>
      </x:c>
      <x:c r="H338" s="6">
        <x:v>319.51</x:v>
      </x:c>
      <x:c r="I338" s="16">
        <x:v>1</x:v>
      </x:c>
      <x:c r="J338"/>
      <x:c r="K338" s="4"/>
      <x:c r="L338" s="4"/>
      <x:c r="M338" s="4"/>
      <x:c r="N338" s="5"/>
    </x:row>
    <x:row r="339" ht="24" customHeight="1">
      <x:c r="A339" s="1" t="inlineStr">
        <x:is>
          <x:t xml:space="preserve">RESULT</x:t>
        </x:is>
      </x:c>
      <x:c r="B339" s="1" t="inlineStr">
        <x:is>
          <x:t xml:space="preserve">Round1</x:t>
        </x:is>
      </x:c>
      <x:c r="C339" s="1" t="inlineStr">
        <x:is>
          <x:t xml:space="preserve">Csv_16</x:t>
        </x:is>
      </x:c>
      <x:c r="D339" s="1" t="inlineStr">
        <x:is>
          <x:t xml:space="preserve">NOT_AVAILABLE</x:t>
        </x:is>
      </x:c>
      <x:c r="E339" s="5"/>
      <x:c r="F339" s="4">
        <x:v>0</x:v>
      </x:c>
      <x:c r="G339" s="4">
        <x:v>7794</x:v>
      </x:c>
      <x:c r="H339" s="6">
        <x:v>61.42</x:v>
      </x:c>
      <x:c r="I339" s="16">
        <x:v>1</x:v>
      </x:c>
      <x:c r="J339"/>
      <x:c r="K339" s="4"/>
      <x:c r="L339" s="4"/>
      <x:c r="M339" s="4"/>
      <x:c r="N339" s="5"/>
    </x:row>
    <x:row r="340" ht="24" customHeight="1">
      <x:c r="A340" s="1" t="inlineStr">
        <x:is>
          <x:t xml:space="preserve">RESULT</x:t>
        </x:is>
      </x:c>
      <x:c r="B340" s="1" t="inlineStr">
        <x:is>
          <x:t xml:space="preserve">Round1</x:t>
        </x:is>
      </x:c>
      <x:c r="C340" s="1" t="inlineStr">
        <x:is>
          <x:t xml:space="preserve">Csv_2</x:t>
        </x:is>
      </x:c>
      <x:c r="D340" s="1" t="inlineStr">
        <x:is>
          <x:t xml:space="preserve">NOT_REVEALING</x:t>
        </x:is>
      </x:c>
      <x:c r="E340" s="5">
        <x:v>1.0</x:v>
      </x:c>
      <x:c r="F340" s="4">
        <x:v>0</x:v>
      </x:c>
      <x:c r="G340" s="4">
        <x:v>3511</x:v>
      </x:c>
      <x:c r="H340" s="6">
        <x:v>46.56</x:v>
      </x:c>
      <x:c r="I340" s="16">
        <x:v>1</x:v>
      </x:c>
      <x:c r="J340">
        <x:v>21</x:v>
      </x:c>
      <x:c r="K340" s="4">
        <x:v>21</x:v>
      </x:c>
      <x:c r="L340" s="4">
        <x:v>16</x:v>
      </x:c>
      <x:c r="M340" s="4">
        <x:v>16</x:v>
      </x:c>
      <x:c r="N340" s="5">
        <x:v>1.0</x:v>
      </x:c>
    </x:row>
    <x:row r="341" ht="24" customHeight="1">
      <x:c r="A341" s="1" t="inlineStr">
        <x:is>
          <x:t xml:space="preserve">RESULT</x:t>
        </x:is>
      </x:c>
      <x:c r="B341" s="1" t="inlineStr">
        <x:is>
          <x:t xml:space="preserve">Round1</x:t>
        </x:is>
      </x:c>
      <x:c r="C341" s="1" t="inlineStr">
        <x:is>
          <x:t xml:space="preserve">Csv_3</x:t>
        </x:is>
      </x:c>
      <x:c r="D341" s="1" t="inlineStr">
        <x:is>
          <x:t xml:space="preserve">NOT_AVAILABLE</x:t>
        </x:is>
      </x:c>
      <x:c r="E341" s="5"/>
      <x:c r="F341" s="4">
        <x:v>0</x:v>
      </x:c>
      <x:c r="G341" s="4">
        <x:v>5395</x:v>
      </x:c>
      <x:c r="H341" s="6">
        <x:v>111.29</x:v>
      </x:c>
      <x:c r="I341" s="16">
        <x:v>1</x:v>
      </x:c>
      <x:c r="J341"/>
      <x:c r="K341" s="4"/>
      <x:c r="L341" s="4"/>
      <x:c r="M341" s="4"/>
      <x:c r="N341" s="5"/>
    </x:row>
    <x:row r="342" ht="24" customHeight="1">
      <x:c r="A342" s="1" t="inlineStr">
        <x:is>
          <x:t xml:space="preserve">RESULT</x:t>
        </x:is>
      </x:c>
      <x:c r="B342" s="1" t="inlineStr">
        <x:is>
          <x:t xml:space="preserve">Round1</x:t>
        </x:is>
      </x:c>
      <x:c r="C342" s="1" t="inlineStr">
        <x:is>
          <x:t xml:space="preserve">Csv_4</x:t>
        </x:is>
      </x:c>
      <x:c r="D342" s="1" t="inlineStr">
        <x:is>
          <x:t xml:space="preserve">NOT_AVAILABLE</x:t>
        </x:is>
      </x:c>
      <x:c r="E342" s="5"/>
      <x:c r="F342" s="4">
        <x:v>0</x:v>
      </x:c>
      <x:c r="G342" s="4">
        <x:v>6561</x:v>
      </x:c>
      <x:c r="H342" s="6">
        <x:v>71.99</x:v>
      </x:c>
      <x:c r="I342" s="16">
        <x:v>1</x:v>
      </x:c>
      <x:c r="J342"/>
      <x:c r="K342" s="4"/>
      <x:c r="L342" s="4"/>
      <x:c r="M342" s="4"/>
      <x:c r="N342" s="5"/>
    </x:row>
    <x:row r="343" ht="24" customHeight="1">
      <x:c r="A343" s="1" t="inlineStr">
        <x:is>
          <x:t xml:space="preserve">RESULT</x:t>
        </x:is>
      </x:c>
      <x:c r="B343" s="1" t="inlineStr">
        <x:is>
          <x:t xml:space="preserve">Round1</x:t>
        </x:is>
      </x:c>
      <x:c r="C343" s="1" t="inlineStr">
        <x:is>
          <x:t xml:space="preserve">Csv_5</x:t>
        </x:is>
      </x:c>
      <x:c r="D343" s="1" t="inlineStr">
        <x:is>
          <x:t xml:space="preserve">NOT_AVAILABLE</x:t>
        </x:is>
      </x:c>
      <x:c r="E343" s="5"/>
      <x:c r="F343" s="4">
        <x:v>0</x:v>
      </x:c>
      <x:c r="G343" s="4">
        <x:v>10149</x:v>
      </x:c>
      <x:c r="H343" s="6">
        <x:v>238.66</x:v>
      </x:c>
      <x:c r="I343" s="16">
        <x:v>1</x:v>
      </x:c>
      <x:c r="J343"/>
      <x:c r="K343" s="4"/>
      <x:c r="L343" s="4"/>
      <x:c r="M343" s="4"/>
      <x:c r="N343" s="5"/>
    </x:row>
    <x:row r="344" ht="24" customHeight="1">
      <x:c r="A344" s="1" t="inlineStr">
        <x:is>
          <x:t xml:space="preserve">RESULT</x:t>
        </x:is>
      </x:c>
      <x:c r="B344" s="1" t="inlineStr">
        <x:is>
          <x:t xml:space="preserve">Round1</x:t>
        </x:is>
      </x:c>
      <x:c r="C344" s="1" t="inlineStr">
        <x:is>
          <x:t xml:space="preserve">Csv_6</x:t>
        </x:is>
      </x:c>
      <x:c r="D344" s="1" t="inlineStr">
        <x:is>
          <x:t xml:space="preserve">INCONCLUSIVE</x:t>
        </x:is>
      </x:c>
      <x:c r="E344" s="5">
        <x:v>0.8856999999999999</x:v>
      </x:c>
      <x:c r="F344" s="4">
        <x:v>0</x:v>
      </x:c>
      <x:c r="G344" s="4">
        <x:v>4167</x:v>
      </x:c>
      <x:c r="H344" s="6">
        <x:v>58.75</x:v>
      </x:c>
      <x:c r="I344" s="16">
        <x:v>1</x:v>
      </x:c>
      <x:c r="J344">
        <x:v>35</x:v>
      </x:c>
      <x:c r="K344" s="4">
        <x:v>31</x:v>
      </x:c>
      <x:c r="L344" s="4">
        <x:v>18</x:v>
      </x:c>
      <x:c r="M344" s="4">
        <x:v>15</x:v>
      </x:c>
      <x:c r="N344" s="5">
        <x:v>0.8332999999999999</x:v>
      </x:c>
    </x:row>
    <x:row r="345" ht="24" customHeight="1">
      <x:c r="A345" s="1" t="inlineStr">
        <x:is>
          <x:t xml:space="preserve">RESULT</x:t>
        </x:is>
      </x:c>
      <x:c r="B345" s="1" t="inlineStr">
        <x:is>
          <x:t xml:space="preserve">Round1</x:t>
        </x:is>
      </x:c>
      <x:c r="C345" s="1" t="inlineStr">
        <x:is>
          <x:t xml:space="preserve">Csv_7</x:t>
        </x:is>
      </x:c>
      <x:c r="D345" s="1" t="inlineStr">
        <x:is>
          <x:t xml:space="preserve">INCONCLUSIVE</x:t>
        </x:is>
      </x:c>
      <x:c r="E345" s="5">
        <x:v>0.7723</x:v>
      </x:c>
      <x:c r="F345" s="4">
        <x:v>0</x:v>
      </x:c>
      <x:c r="G345" s="4">
        <x:v>6580</x:v>
      </x:c>
      <x:c r="H345" s="6">
        <x:v>72.2</x:v>
      </x:c>
      <x:c r="I345" s="16">
        <x:v>1</x:v>
      </x:c>
      <x:c r="J345">
        <x:v>101</x:v>
      </x:c>
      <x:c r="K345" s="4">
        <x:v>78</x:v>
      </x:c>
      <x:c r="L345" s="4">
        <x:v>50</x:v>
      </x:c>
      <x:c r="M345" s="4">
        <x:v>34</x:v>
      </x:c>
      <x:c r="N345" s="5">
        <x:v>0.68</x:v>
      </x:c>
    </x:row>
    <x:row r="346" ht="24" customHeight="1">
      <x:c r="A346" s="1" t="inlineStr">
        <x:is>
          <x:t xml:space="preserve">RESULT</x:t>
        </x:is>
      </x:c>
      <x:c r="B346" s="1" t="inlineStr">
        <x:is>
          <x:t xml:space="preserve">Round1</x:t>
        </x:is>
      </x:c>
      <x:c r="C346" s="1" t="inlineStr">
        <x:is>
          <x:t xml:space="preserve">Csv_8</x:t>
        </x:is>
      </x:c>
      <x:c r="D346" s="1" t="inlineStr">
        <x:is>
          <x:t xml:space="preserve">NOT_AVAILABLE</x:t>
        </x:is>
      </x:c>
      <x:c r="E346" s="5"/>
      <x:c r="F346" s="4">
        <x:v>0</x:v>
      </x:c>
      <x:c r="G346" s="4">
        <x:v>7917</x:v>
      </x:c>
      <x:c r="H346" s="6">
        <x:v>135.49</x:v>
      </x:c>
      <x:c r="I346" s="16">
        <x:v>1</x:v>
      </x:c>
      <x:c r="J346"/>
      <x:c r="K346" s="4"/>
      <x:c r="L346" s="4"/>
      <x:c r="M346" s="4"/>
      <x:c r="N346" s="5"/>
    </x:row>
    <x:row r="347" ht="24" customHeight="1">
      <x:c r="A347" s="1" t="inlineStr">
        <x:is>
          <x:t xml:space="preserve">RESULT</x:t>
        </x:is>
      </x:c>
      <x:c r="B347" s="1" t="inlineStr">
        <x:is>
          <x:t xml:space="preserve">Round1</x:t>
        </x:is>
      </x:c>
      <x:c r="C347" s="1" t="inlineStr">
        <x:is>
          <x:t xml:space="preserve">Csv_9</x:t>
        </x:is>
      </x:c>
      <x:c r="D347" s="1" t="inlineStr">
        <x:is>
          <x:t xml:space="preserve">INCONCLUSIVE</x:t>
        </x:is>
      </x:c>
      <x:c r="E347" s="5">
        <x:v>1.0</x:v>
      </x:c>
      <x:c r="F347" s="4">
        <x:v>0</x:v>
      </x:c>
      <x:c r="G347" s="4">
        <x:v>4736</x:v>
      </x:c>
      <x:c r="H347" s="6">
        <x:v>79.29</x:v>
      </x:c>
      <x:c r="I347" s="16">
        <x:v>1</x:v>
      </x:c>
      <x:c r="J347">
        <x:v>36</x:v>
      </x:c>
      <x:c r="K347" s="4">
        <x:v>36</x:v>
      </x:c>
      <x:c r="L347" s="4">
        <x:v>22</x:v>
      </x:c>
      <x:c r="M347" s="4">
        <x:v>21</x:v>
      </x:c>
      <x:c r="N347" s="5">
        <x:v>0.9545</x:v>
      </x:c>
    </x:row>
    <x:row r="348" ht="24" customHeight="1">
      <x:c r="A348" s="1" t="inlineStr">
        <x:is>
          <x:t xml:space="preserve">RESULT</x:t>
        </x:is>
      </x:c>
      <x:c r="B348" s="1" t="inlineStr">
        <x:is>
          <x:t xml:space="preserve">Round1</x:t>
        </x:is>
      </x:c>
      <x:c r="C348" s="1" t="inlineStr">
        <x:is>
          <x:t xml:space="preserve">Gson_1</x:t>
        </x:is>
      </x:c>
      <x:c r="D348" s="1" t="inlineStr">
        <x:is>
          <x:t xml:space="preserve">INCONCLUSIVE</x:t>
        </x:is>
      </x:c>
      <x:c r="E348" s="5">
        <x:v>0.6383</x:v>
      </x:c>
      <x:c r="F348" s="4">
        <x:v>0</x:v>
      </x:c>
      <x:c r="G348" s="4">
        <x:v>4580</x:v>
      </x:c>
      <x:c r="H348" s="6">
        <x:v>89.56</x:v>
      </x:c>
      <x:c r="I348" s="16">
        <x:v>1</x:v>
      </x:c>
      <x:c r="J348">
        <x:v>47</x:v>
      </x:c>
      <x:c r="K348" s="4">
        <x:v>30</x:v>
      </x:c>
      <x:c r="L348" s="4">
        <x:v>22</x:v>
      </x:c>
      <x:c r="M348" s="4">
        <x:v>12</x:v>
      </x:c>
      <x:c r="N348" s="5">
        <x:v>0.5455</x:v>
      </x:c>
    </x:row>
    <x:row r="349" ht="24" customHeight="1">
      <x:c r="A349" s="1" t="inlineStr">
        <x:is>
          <x:t xml:space="preserve">RESULT</x:t>
        </x:is>
      </x:c>
      <x:c r="B349" s="1" t="inlineStr">
        <x:is>
          <x:t xml:space="preserve">Round1</x:t>
        </x:is>
      </x:c>
      <x:c r="C349" s="1" t="inlineStr">
        <x:is>
          <x:t xml:space="preserve">Gson_10</x:t>
        </x:is>
      </x:c>
      <x:c r="D349" s="1" t="inlineStr">
        <x:is>
          <x:t xml:space="preserve">NOT_AVAILABLE</x:t>
        </x:is>
      </x:c>
      <x:c r="E349" s="5"/>
      <x:c r="F349" s="4">
        <x:v>0</x:v>
      </x:c>
      <x:c r="G349" s="4">
        <x:v>5293</x:v>
      </x:c>
      <x:c r="H349" s="6">
        <x:v>80.19</x:v>
      </x:c>
      <x:c r="I349" s="16">
        <x:v>1</x:v>
      </x:c>
      <x:c r="J349"/>
      <x:c r="K349" s="4"/>
      <x:c r="L349" s="4"/>
      <x:c r="M349" s="4"/>
      <x:c r="N349" s="5"/>
    </x:row>
    <x:row r="350" ht="24" customHeight="1">
      <x:c r="A350" s="1" t="inlineStr">
        <x:is>
          <x:t xml:space="preserve">RESULT</x:t>
        </x:is>
      </x:c>
      <x:c r="B350" s="1" t="inlineStr">
        <x:is>
          <x:t xml:space="preserve">Round1</x:t>
        </x:is>
      </x:c>
      <x:c r="C350" s="1" t="inlineStr">
        <x:is>
          <x:t xml:space="preserve">Gson_11</x:t>
        </x:is>
      </x:c>
      <x:c r="D350" s="1" t="inlineStr">
        <x:is>
          <x:t xml:space="preserve">NOT_AVAILABLE</x:t>
        </x:is>
      </x:c>
      <x:c r="E350" s="5"/>
      <x:c r="F350" s="4">
        <x:v>0</x:v>
      </x:c>
      <x:c r="G350" s="4">
        <x:v>14038</x:v>
      </x:c>
      <x:c r="H350" s="6">
        <x:v>233.0</x:v>
      </x:c>
      <x:c r="I350" s="16">
        <x:v>1</x:v>
      </x:c>
      <x:c r="J350"/>
      <x:c r="K350" s="4"/>
      <x:c r="L350" s="4"/>
      <x:c r="M350" s="4"/>
      <x:c r="N350" s="5"/>
    </x:row>
    <x:row r="351" ht="24" customHeight="1">
      <x:c r="A351" s="1" t="inlineStr">
        <x:is>
          <x:t xml:space="preserve">RESULT</x:t>
        </x:is>
      </x:c>
      <x:c r="B351" s="1" t="inlineStr">
        <x:is>
          <x:t xml:space="preserve">Round1</x:t>
        </x:is>
      </x:c>
      <x:c r="C351" s="1" t="inlineStr">
        <x:is>
          <x:t xml:space="preserve">Gson_12</x:t>
        </x:is>
      </x:c>
      <x:c r="D351" s="1" t="inlineStr">
        <x:is>
          <x:t xml:space="preserve">NOT_AVAILABLE</x:t>
        </x:is>
      </x:c>
      <x:c r="E351" s="5"/>
      <x:c r="F351" s="4">
        <x:v>0</x:v>
      </x:c>
      <x:c r="G351" s="4">
        <x:v>5464</x:v>
      </x:c>
      <x:c r="H351" s="6">
        <x:v>72.46</x:v>
      </x:c>
      <x:c r="I351" s="16">
        <x:v>1</x:v>
      </x:c>
      <x:c r="J351"/>
      <x:c r="K351" s="4"/>
      <x:c r="L351" s="4"/>
      <x:c r="M351" s="4"/>
      <x:c r="N351" s="5"/>
    </x:row>
    <x:row r="352" ht="24" customHeight="1">
      <x:c r="A352" s="1" t="inlineStr">
        <x:is>
          <x:t xml:space="preserve">RESULT</x:t>
        </x:is>
      </x:c>
      <x:c r="B352" s="1" t="inlineStr">
        <x:is>
          <x:t xml:space="preserve">Round1</x:t>
        </x:is>
      </x:c>
      <x:c r="C352" s="1" t="inlineStr">
        <x:is>
          <x:t xml:space="preserve">Gson_13</x:t>
        </x:is>
      </x:c>
      <x:c r="D352" s="1" t="inlineStr">
        <x:is>
          <x:t xml:space="preserve">NOT_AVAILABLE</x:t>
        </x:is>
      </x:c>
      <x:c r="E352" s="5"/>
      <x:c r="F352" s="4">
        <x:v>0</x:v>
      </x:c>
      <x:c r="G352" s="4">
        <x:v>12757</x:v>
      </x:c>
      <x:c r="H352" s="6">
        <x:v>107.83</x:v>
      </x:c>
      <x:c r="I352" s="16">
        <x:v>1</x:v>
      </x:c>
      <x:c r="J352"/>
      <x:c r="K352" s="4"/>
      <x:c r="L352" s="4"/>
      <x:c r="M352" s="4"/>
      <x:c r="N352" s="5"/>
    </x:row>
    <x:row r="353" ht="24" customHeight="1">
      <x:c r="A353" s="1" t="inlineStr">
        <x:is>
          <x:t xml:space="preserve">RESULT</x:t>
        </x:is>
      </x:c>
      <x:c r="B353" s="1" t="inlineStr">
        <x:is>
          <x:t xml:space="preserve">Round1</x:t>
        </x:is>
      </x:c>
      <x:c r="C353" s="1" t="inlineStr">
        <x:is>
          <x:t xml:space="preserve">Gson_14</x:t>
        </x:is>
      </x:c>
      <x:c r="D353" s="1" t="inlineStr">
        <x:is>
          <x:t xml:space="preserve">NOT_AVAILABLE</x:t>
        </x:is>
      </x:c>
      <x:c r="E353" s="5"/>
      <x:c r="F353" s="4">
        <x:v>0</x:v>
      </x:c>
      <x:c r="G353" s="4">
        <x:v>10458</x:v>
      </x:c>
      <x:c r="H353" s="6">
        <x:v>171.06</x:v>
      </x:c>
      <x:c r="I353" s="16">
        <x:v>1</x:v>
      </x:c>
      <x:c r="J353"/>
      <x:c r="K353" s="4"/>
      <x:c r="L353" s="4"/>
      <x:c r="M353" s="4"/>
      <x:c r="N353" s="5"/>
    </x:row>
    <x:row r="354" ht="24" customHeight="1">
      <x:c r="A354" s="1" t="inlineStr">
        <x:is>
          <x:t xml:space="preserve">RESULT</x:t>
        </x:is>
      </x:c>
      <x:c r="B354" s="1" t="inlineStr">
        <x:is>
          <x:t xml:space="preserve">Round1</x:t>
        </x:is>
      </x:c>
      <x:c r="C354" s="1" t="inlineStr">
        <x:is>
          <x:t xml:space="preserve">Gson_15</x:t>
        </x:is>
      </x:c>
      <x:c r="D354" s="1" t="inlineStr">
        <x:is>
          <x:t xml:space="preserve">NOT_AVAILABLE</x:t>
        </x:is>
      </x:c>
      <x:c r="E354" s="5"/>
      <x:c r="F354" s="4">
        <x:v>0</x:v>
      </x:c>
      <x:c r="G354" s="4">
        <x:v>8143</x:v>
      </x:c>
      <x:c r="H354" s="6">
        <x:v>79.37</x:v>
      </x:c>
      <x:c r="I354" s="16">
        <x:v>1</x:v>
      </x:c>
      <x:c r="J354"/>
      <x:c r="K354" s="4"/>
      <x:c r="L354" s="4"/>
      <x:c r="M354" s="4"/>
      <x:c r="N354" s="5"/>
    </x:row>
    <x:row r="355" ht="24" customHeight="1">
      <x:c r="A355" s="1" t="inlineStr">
        <x:is>
          <x:t xml:space="preserve">RESULT</x:t>
        </x:is>
      </x:c>
      <x:c r="B355" s="1" t="inlineStr">
        <x:is>
          <x:t xml:space="preserve">Round1</x:t>
        </x:is>
      </x:c>
      <x:c r="C355" s="1" t="inlineStr">
        <x:is>
          <x:t xml:space="preserve">Gson_16</x:t>
        </x:is>
      </x:c>
      <x:c r="D355" s="1" t="inlineStr">
        <x:is>
          <x:t xml:space="preserve">NOT_AVAILABLE</x:t>
        </x:is>
      </x:c>
      <x:c r="E355" s="5"/>
      <x:c r="F355" s="4">
        <x:v>0</x:v>
      </x:c>
      <x:c r="G355" s="4">
        <x:v>8828</x:v>
      </x:c>
      <x:c r="H355" s="6">
        <x:v>105.07</x:v>
      </x:c>
      <x:c r="I355" s="16">
        <x:v>1</x:v>
      </x:c>
      <x:c r="J355"/>
      <x:c r="K355" s="4"/>
      <x:c r="L355" s="4"/>
      <x:c r="M355" s="4"/>
      <x:c r="N355" s="5"/>
    </x:row>
    <x:row r="356" ht="24" customHeight="1">
      <x:c r="A356" s="1" t="inlineStr">
        <x:is>
          <x:t xml:space="preserve">RESULT</x:t>
        </x:is>
      </x:c>
      <x:c r="B356" s="1" t="inlineStr">
        <x:is>
          <x:t xml:space="preserve">Round1</x:t>
        </x:is>
      </x:c>
      <x:c r="C356" s="1" t="inlineStr">
        <x:is>
          <x:t xml:space="preserve">Gson_17</x:t>
        </x:is>
      </x:c>
      <x:c r="D356" s="1" t="inlineStr">
        <x:is>
          <x:t xml:space="preserve">NOT_AVAILABLE</x:t>
        </x:is>
      </x:c>
      <x:c r="E356" s="5"/>
      <x:c r="F356" s="4">
        <x:v>0</x:v>
      </x:c>
      <x:c r="G356" s="4">
        <x:v>5265</x:v>
      </x:c>
      <x:c r="H356" s="6">
        <x:v>133.65</x:v>
      </x:c>
      <x:c r="I356" s="16">
        <x:v>1</x:v>
      </x:c>
      <x:c r="J356"/>
      <x:c r="K356" s="4"/>
      <x:c r="L356" s="4"/>
      <x:c r="M356" s="4"/>
      <x:c r="N356" s="5"/>
    </x:row>
    <x:row r="357" ht="24" customHeight="1">
      <x:c r="A357" s="1" t="inlineStr">
        <x:is>
          <x:t xml:space="preserve">RESULT</x:t>
        </x:is>
      </x:c>
      <x:c r="B357" s="1" t="inlineStr">
        <x:is>
          <x:t xml:space="preserve">Round1</x:t>
        </x:is>
      </x:c>
      <x:c r="C357" s="1" t="inlineStr">
        <x:is>
          <x:t xml:space="preserve">Gson_18</x:t>
        </x:is>
      </x:c>
      <x:c r="D357" s="1" t="inlineStr">
        <x:is>
          <x:t xml:space="preserve">NOT_AVAILABLE</x:t>
        </x:is>
      </x:c>
      <x:c r="E357" s="5"/>
      <x:c r="F357" s="4">
        <x:v>0</x:v>
      </x:c>
      <x:c r="G357" s="4">
        <x:v>9385</x:v>
      </x:c>
      <x:c r="H357" s="6">
        <x:v>126.1</x:v>
      </x:c>
      <x:c r="I357" s="16">
        <x:v>1</x:v>
      </x:c>
      <x:c r="J357"/>
      <x:c r="K357" s="4"/>
      <x:c r="L357" s="4"/>
      <x:c r="M357" s="4"/>
      <x:c r="N357" s="5"/>
    </x:row>
    <x:row r="358" ht="24" customHeight="1">
      <x:c r="A358" s="1" t="inlineStr">
        <x:is>
          <x:t xml:space="preserve">RESULT</x:t>
        </x:is>
      </x:c>
      <x:c r="B358" s="1" t="inlineStr">
        <x:is>
          <x:t xml:space="preserve">Round1</x:t>
        </x:is>
      </x:c>
      <x:c r="C358" s="1" t="inlineStr">
        <x:is>
          <x:t xml:space="preserve">Gson_2</x:t>
        </x:is>
      </x:c>
      <x:c r="D358" s="1" t="inlineStr">
        <x:is>
          <x:t xml:space="preserve">NOT_AVAILABLE</x:t>
        </x:is>
      </x:c>
      <x:c r="E358" s="5"/>
      <x:c r="F358" s="4">
        <x:v>0</x:v>
      </x:c>
      <x:c r="G358" s="4">
        <x:v>12826</x:v>
      </x:c>
      <x:c r="H358" s="6">
        <x:v>226.29</x:v>
      </x:c>
      <x:c r="I358" s="16">
        <x:v>1</x:v>
      </x:c>
      <x:c r="J358"/>
      <x:c r="K358" s="4"/>
      <x:c r="L358" s="4"/>
      <x:c r="M358" s="4"/>
      <x:c r="N358" s="5"/>
    </x:row>
    <x:row r="359" ht="24" customHeight="1">
      <x:c r="A359" s="1" t="inlineStr">
        <x:is>
          <x:t xml:space="preserve">RESULT</x:t>
        </x:is>
      </x:c>
      <x:c r="B359" s="1" t="inlineStr">
        <x:is>
          <x:t xml:space="preserve">Round1</x:t>
        </x:is>
      </x:c>
      <x:c r="C359" s="1" t="inlineStr">
        <x:is>
          <x:t xml:space="preserve">Gson_3</x:t>
        </x:is>
      </x:c>
      <x:c r="D359" s="1" t="inlineStr">
        <x:is>
          <x:t xml:space="preserve">INCONCLUSIVE</x:t>
        </x:is>
      </x:c>
      <x:c r="E359" s="5">
        <x:v>0.7093</x:v>
      </x:c>
      <x:c r="F359" s="4">
        <x:v>0</x:v>
      </x:c>
      <x:c r="G359" s="4">
        <x:v>4191</x:v>
      </x:c>
      <x:c r="H359" s="6">
        <x:v>53.0</x:v>
      </x:c>
      <x:c r="I359" s="16">
        <x:v>1</x:v>
      </x:c>
      <x:c r="J359">
        <x:v>86</x:v>
      </x:c>
      <x:c r="K359" s="4">
        <x:v>61</x:v>
      </x:c>
      <x:c r="L359" s="4">
        <x:v>32</x:v>
      </x:c>
      <x:c r="M359" s="4">
        <x:v>21</x:v>
      </x:c>
      <x:c r="N359" s="5">
        <x:v>0.6562</x:v>
      </x:c>
    </x:row>
    <x:row r="360" ht="24" customHeight="1">
      <x:c r="A360" s="1" t="inlineStr">
        <x:is>
          <x:t xml:space="preserve">RESULT</x:t>
        </x:is>
      </x:c>
      <x:c r="B360" s="1" t="inlineStr">
        <x:is>
          <x:t xml:space="preserve">Round1</x:t>
        </x:is>
      </x:c>
      <x:c r="C360" s="1" t="inlineStr">
        <x:is>
          <x:t xml:space="preserve">Gson_4</x:t>
        </x:is>
      </x:c>
      <x:c r="D360" s="1" t="inlineStr">
        <x:is>
          <x:t xml:space="preserve">NOT_AVAILABLE</x:t>
        </x:is>
      </x:c>
      <x:c r="E360" s="5"/>
      <x:c r="F360" s="4">
        <x:v>0</x:v>
      </x:c>
      <x:c r="G360" s="4">
        <x:v>21045</x:v>
      </x:c>
      <x:c r="H360" s="6">
        <x:v>183.49</x:v>
      </x:c>
      <x:c r="I360" s="16">
        <x:v>1</x:v>
      </x:c>
      <x:c r="J360"/>
      <x:c r="K360" s="4"/>
      <x:c r="L360" s="4"/>
      <x:c r="M360" s="4"/>
      <x:c r="N360" s="5"/>
    </x:row>
    <x:row r="361" ht="24" customHeight="1">
      <x:c r="A361" s="1" t="inlineStr">
        <x:is>
          <x:t xml:space="preserve">RESULT</x:t>
        </x:is>
      </x:c>
      <x:c r="B361" s="1" t="inlineStr">
        <x:is>
          <x:t xml:space="preserve">Round1</x:t>
        </x:is>
      </x:c>
      <x:c r="C361" s="1" t="inlineStr">
        <x:is>
          <x:t xml:space="preserve">Gson_5</x:t>
        </x:is>
      </x:c>
      <x:c r="D361" s="1" t="inlineStr">
        <x:is>
          <x:t xml:space="preserve">INCONCLUSIVE</x:t>
        </x:is>
      </x:c>
      <x:c r="E361" s="5">
        <x:v>0.9</x:v>
      </x:c>
      <x:c r="F361" s="4">
        <x:v>0</x:v>
      </x:c>
      <x:c r="G361" s="4">
        <x:v>7267</x:v>
      </x:c>
      <x:c r="H361" s="6">
        <x:v>112.35</x:v>
      </x:c>
      <x:c r="I361" s="16">
        <x:v>1</x:v>
      </x:c>
      <x:c r="J361">
        <x:v>150</x:v>
      </x:c>
      <x:c r="K361" s="4">
        <x:v>135</x:v>
      </x:c>
      <x:c r="L361" s="4">
        <x:v>89</x:v>
      </x:c>
      <x:c r="M361" s="4">
        <x:v>67</x:v>
      </x:c>
      <x:c r="N361" s="5">
        <x:v>0.7528</x:v>
      </x:c>
    </x:row>
    <x:row r="362" ht="24" customHeight="1">
      <x:c r="A362" s="1" t="inlineStr">
        <x:is>
          <x:t xml:space="preserve">RESULT</x:t>
        </x:is>
      </x:c>
      <x:c r="B362" s="1" t="inlineStr">
        <x:is>
          <x:t xml:space="preserve">Round1</x:t>
        </x:is>
      </x:c>
      <x:c r="C362" s="1" t="inlineStr">
        <x:is>
          <x:t xml:space="preserve">Gson_6</x:t>
        </x:is>
      </x:c>
      <x:c r="D362" s="1" t="inlineStr">
        <x:is>
          <x:t xml:space="preserve">NOT_AVAILABLE</x:t>
        </x:is>
      </x:c>
      <x:c r="E362" s="5"/>
      <x:c r="F362" s="4">
        <x:v>0</x:v>
      </x:c>
      <x:c r="G362" s="4">
        <x:v>3034</x:v>
      </x:c>
      <x:c r="H362" s="6">
        <x:v>48.78</x:v>
      </x:c>
      <x:c r="I362" s="16">
        <x:v>1</x:v>
      </x:c>
      <x:c r="J362"/>
      <x:c r="K362" s="4"/>
      <x:c r="L362" s="4"/>
      <x:c r="M362" s="4"/>
      <x:c r="N362" s="5"/>
    </x:row>
    <x:row r="363" ht="24" customHeight="1">
      <x:c r="A363" s="1" t="inlineStr">
        <x:is>
          <x:t xml:space="preserve">RESULT</x:t>
        </x:is>
      </x:c>
      <x:c r="B363" s="1" t="inlineStr">
        <x:is>
          <x:t xml:space="preserve">Round1</x:t>
        </x:is>
      </x:c>
      <x:c r="C363" s="1" t="inlineStr">
        <x:is>
          <x:t xml:space="preserve">Gson_7</x:t>
        </x:is>
      </x:c>
      <x:c r="D363" s="1" t="inlineStr">
        <x:is>
          <x:t xml:space="preserve">NOT_AVAILABLE</x:t>
        </x:is>
      </x:c>
      <x:c r="E363" s="5"/>
      <x:c r="F363" s="4">
        <x:v>0</x:v>
      </x:c>
      <x:c r="G363" s="4">
        <x:v>13460</x:v>
      </x:c>
      <x:c r="H363" s="6">
        <x:v>127.95</x:v>
      </x:c>
      <x:c r="I363" s="16">
        <x:v>1</x:v>
      </x:c>
      <x:c r="J363"/>
      <x:c r="K363" s="4"/>
      <x:c r="L363" s="4"/>
      <x:c r="M363" s="4"/>
      <x:c r="N363" s="5"/>
    </x:row>
    <x:row r="364" ht="24" customHeight="1">
      <x:c r="A364" s="1" t="inlineStr">
        <x:is>
          <x:t xml:space="preserve">RESULT</x:t>
        </x:is>
      </x:c>
      <x:c r="B364" s="1" t="inlineStr">
        <x:is>
          <x:t xml:space="preserve">Round1</x:t>
        </x:is>
      </x:c>
      <x:c r="C364" s="1" t="inlineStr">
        <x:is>
          <x:t xml:space="preserve">Gson_8</x:t>
        </x:is>
      </x:c>
      <x:c r="D364" s="1" t="inlineStr">
        <x:is>
          <x:t xml:space="preserve">NOT_REVEALING</x:t>
        </x:is>
      </x:c>
      <x:c r="E364" s="5">
        <x:v>0.0</x:v>
      </x:c>
      <x:c r="F364" s="4">
        <x:v>0</x:v>
      </x:c>
      <x:c r="G364" s="4">
        <x:v>3437</x:v>
      </x:c>
      <x:c r="H364" s="6">
        <x:v>54.15</x:v>
      </x:c>
      <x:c r="I364" s="16">
        <x:v>1</x:v>
      </x:c>
      <x:c r="J364">
        <x:v>31</x:v>
      </x:c>
      <x:c r="K364" s="4">
        <x:v>0</x:v>
      </x:c>
      <x:c r="L364" s="4">
        <x:v>0</x:v>
      </x:c>
      <x:c r="M364" s="4">
        <x:v>0</x:v>
      </x:c>
      <x:c r="N364" s="5"/>
    </x:row>
    <x:row r="365" ht="24" customHeight="1">
      <x:c r="A365" s="1" t="inlineStr">
        <x:is>
          <x:t xml:space="preserve">RESULT</x:t>
        </x:is>
      </x:c>
      <x:c r="B365" s="1" t="inlineStr">
        <x:is>
          <x:t xml:space="preserve">Round1</x:t>
        </x:is>
      </x:c>
      <x:c r="C365" s="1" t="inlineStr">
        <x:is>
          <x:t xml:space="preserve">Gson_9</x:t>
        </x:is>
      </x:c>
      <x:c r="D365" s="1" t="inlineStr">
        <x:is>
          <x:t xml:space="preserve">NOT_AVAILABLE</x:t>
        </x:is>
      </x:c>
      <x:c r="E365" s="5"/>
      <x:c r="F365" s="4">
        <x:v>0</x:v>
      </x:c>
      <x:c r="G365" s="4">
        <x:v>29381</x:v>
      </x:c>
      <x:c r="H365" s="6">
        <x:v>509.0</x:v>
      </x:c>
      <x:c r="I365" s="16">
        <x:v>1</x:v>
      </x:c>
      <x:c r="J365"/>
      <x:c r="K365" s="4"/>
      <x:c r="L365" s="4"/>
      <x:c r="M365" s="4"/>
      <x:c r="N365" s="5"/>
    </x:row>
    <x:row r="366" ht="24" customHeight="1">
      <x:c r="A366" s="1" t="inlineStr">
        <x:is>
          <x:t xml:space="preserve">RESULT</x:t>
        </x:is>
      </x:c>
      <x:c r="B366" s="1" t="inlineStr">
        <x:is>
          <x:t xml:space="preserve">Round1</x:t>
        </x:is>
      </x:c>
      <x:c r="C366" s="1" t="inlineStr">
        <x:is>
          <x:t xml:space="preserve">JacksonCore_1</x:t>
        </x:is>
      </x:c>
      <x:c r="D366" s="1" t="inlineStr">
        <x:is>
          <x:t xml:space="preserve">NOT_AVAILABLE</x:t>
        </x:is>
      </x:c>
      <x:c r="E366" s="5"/>
      <x:c r="F366" s="4">
        <x:v>0</x:v>
      </x:c>
      <x:c r="G366" s="4">
        <x:v>14211</x:v>
      </x:c>
      <x:c r="H366" s="6">
        <x:v>186.17</x:v>
      </x:c>
      <x:c r="I366" s="16">
        <x:v>1</x:v>
      </x:c>
      <x:c r="J366"/>
      <x:c r="K366" s="4"/>
      <x:c r="L366" s="4"/>
      <x:c r="M366" s="4"/>
      <x:c r="N366" s="5"/>
    </x:row>
    <x:row r="367" ht="24" customHeight="1">
      <x:c r="A367" s="1" t="inlineStr">
        <x:is>
          <x:t xml:space="preserve">RESULT</x:t>
        </x:is>
      </x:c>
      <x:c r="B367" s="1" t="inlineStr">
        <x:is>
          <x:t xml:space="preserve">Round1</x:t>
        </x:is>
      </x:c>
      <x:c r="C367" s="1" t="inlineStr">
        <x:is>
          <x:t xml:space="preserve">JacksonCore_10</x:t>
        </x:is>
      </x:c>
      <x:c r="D367" s="1" t="inlineStr">
        <x:is>
          <x:t xml:space="preserve">NOT_AVAILABLE</x:t>
        </x:is>
      </x:c>
      <x:c r="E367" s="5"/>
      <x:c r="F367" s="4">
        <x:v>0</x:v>
      </x:c>
      <x:c r="G367" s="4">
        <x:v>9450</x:v>
      </x:c>
      <x:c r="H367" s="6">
        <x:v>63.43</x:v>
      </x:c>
      <x:c r="I367" s="16">
        <x:v>1</x:v>
      </x:c>
      <x:c r="J367"/>
      <x:c r="K367" s="4"/>
      <x:c r="L367" s="4"/>
      <x:c r="M367" s="4"/>
      <x:c r="N367" s="5"/>
    </x:row>
    <x:row r="368" ht="24" customHeight="1">
      <x:c r="A368" s="1" t="inlineStr">
        <x:is>
          <x:t xml:space="preserve">RESULT</x:t>
        </x:is>
      </x:c>
      <x:c r="B368" s="1" t="inlineStr">
        <x:is>
          <x:t xml:space="preserve">Round1</x:t>
        </x:is>
      </x:c>
      <x:c r="C368" s="1" t="inlineStr">
        <x:is>
          <x:t xml:space="preserve">JacksonCore_11</x:t>
        </x:is>
      </x:c>
      <x:c r="D368" s="1" t="inlineStr">
        <x:is>
          <x:t xml:space="preserve">INCONCLUSIVE</x:t>
        </x:is>
      </x:c>
      <x:c r="E368" s="5">
        <x:v>0.6966</x:v>
      </x:c>
      <x:c r="F368" s="4">
        <x:v>0</x:v>
      </x:c>
      <x:c r="G368" s="4">
        <x:v>10140</x:v>
      </x:c>
      <x:c r="H368" s="6">
        <x:v>87.82</x:v>
      </x:c>
      <x:c r="I368" s="16">
        <x:v>1</x:v>
      </x:c>
      <x:c r="J368">
        <x:v>468</x:v>
      </x:c>
      <x:c r="K368" s="4">
        <x:v>326</x:v>
      </x:c>
      <x:c r="L368" s="4">
        <x:v>268</x:v>
      </x:c>
      <x:c r="M368" s="4">
        <x:v>109</x:v>
      </x:c>
      <x:c r="N368" s="5">
        <x:v>0.4067</x:v>
      </x:c>
    </x:row>
    <x:row r="369" ht="24" customHeight="1">
      <x:c r="A369" s="1" t="inlineStr">
        <x:is>
          <x:t xml:space="preserve">RESULT</x:t>
        </x:is>
      </x:c>
      <x:c r="B369" s="1" t="inlineStr">
        <x:is>
          <x:t xml:space="preserve">Round1</x:t>
        </x:is>
      </x:c>
      <x:c r="C369" s="1" t="inlineStr">
        <x:is>
          <x:t xml:space="preserve">JacksonCore_12</x:t>
        </x:is>
      </x:c>
      <x:c r="D369" s="1" t="inlineStr">
        <x:is>
          <x:t xml:space="preserve">NOT_AVAILABLE</x:t>
        </x:is>
      </x:c>
      <x:c r="E369" s="5"/>
      <x:c r="F369" s="4">
        <x:v>0</x:v>
      </x:c>
      <x:c r="G369" s="4">
        <x:v>51716</x:v>
      </x:c>
      <x:c r="H369" s="6">
        <x:v>336.79</x:v>
      </x:c>
      <x:c r="I369" s="16">
        <x:v>1</x:v>
      </x:c>
      <x:c r="J369"/>
      <x:c r="K369" s="4"/>
      <x:c r="L369" s="4"/>
      <x:c r="M369" s="4"/>
      <x:c r="N369" s="5"/>
    </x:row>
    <x:row r="370" ht="24" customHeight="1">
      <x:c r="A370" s="1" t="inlineStr">
        <x:is>
          <x:t xml:space="preserve">RESULT</x:t>
        </x:is>
      </x:c>
      <x:c r="B370" s="1" t="inlineStr">
        <x:is>
          <x:t xml:space="preserve">Round1</x:t>
        </x:is>
      </x:c>
      <x:c r="C370" s="1" t="inlineStr">
        <x:is>
          <x:t xml:space="preserve">JacksonCore_13</x:t>
        </x:is>
      </x:c>
      <x:c r="D370" s="1" t="inlineStr">
        <x:is>
          <x:t xml:space="preserve">NOT_AVAILABLE</x:t>
        </x:is>
      </x:c>
      <x:c r="E370" s="5"/>
      <x:c r="F370" s="4">
        <x:v>0</x:v>
      </x:c>
      <x:c r="G370" s="4">
        <x:v>4441</x:v>
      </x:c>
      <x:c r="H370" s="6">
        <x:v>78.58</x:v>
      </x:c>
      <x:c r="I370" s="16">
        <x:v>1</x:v>
      </x:c>
      <x:c r="J370"/>
      <x:c r="K370" s="4"/>
      <x:c r="L370" s="4"/>
      <x:c r="M370" s="4"/>
      <x:c r="N370" s="5"/>
    </x:row>
    <x:row r="371" ht="24" customHeight="1">
      <x:c r="A371" s="1" t="inlineStr">
        <x:is>
          <x:t xml:space="preserve">RESULT</x:t>
        </x:is>
      </x:c>
      <x:c r="B371" s="1" t="inlineStr">
        <x:is>
          <x:t xml:space="preserve">Round1</x:t>
        </x:is>
      </x:c>
      <x:c r="C371" s="1" t="inlineStr">
        <x:is>
          <x:t xml:space="preserve">JacksonCore_14</x:t>
        </x:is>
      </x:c>
      <x:c r="D371" s="1" t="inlineStr">
        <x:is>
          <x:t xml:space="preserve">NOT_AVAILABLE</x:t>
        </x:is>
      </x:c>
      <x:c r="E371" s="5"/>
      <x:c r="F371" s="4">
        <x:v>0</x:v>
      </x:c>
      <x:c r="G371" s="4">
        <x:v>3918</x:v>
      </x:c>
      <x:c r="H371" s="6">
        <x:v>48.41</x:v>
      </x:c>
      <x:c r="I371" s="16">
        <x:v>1</x:v>
      </x:c>
      <x:c r="J371"/>
      <x:c r="K371" s="4"/>
      <x:c r="L371" s="4"/>
      <x:c r="M371" s="4"/>
      <x:c r="N371" s="5"/>
    </x:row>
    <x:row r="372" ht="24" customHeight="1">
      <x:c r="A372" s="1" t="inlineStr">
        <x:is>
          <x:t xml:space="preserve">RESULT</x:t>
        </x:is>
      </x:c>
      <x:c r="B372" s="1" t="inlineStr">
        <x:is>
          <x:t xml:space="preserve">Round1</x:t>
        </x:is>
      </x:c>
      <x:c r="C372" s="1" t="inlineStr">
        <x:is>
          <x:t xml:space="preserve">JacksonCore_15</x:t>
        </x:is>
      </x:c>
      <x:c r="D372" s="1" t="inlineStr">
        <x:is>
          <x:t xml:space="preserve">NOT_AVAILABLE</x:t>
        </x:is>
      </x:c>
      <x:c r="E372" s="5"/>
      <x:c r="F372" s="4">
        <x:v>0</x:v>
      </x:c>
      <x:c r="G372" s="4">
        <x:v>9628</x:v>
      </x:c>
      <x:c r="H372" s="6">
        <x:v>146.0</x:v>
      </x:c>
      <x:c r="I372" s="16">
        <x:v>1</x:v>
      </x:c>
      <x:c r="J372"/>
      <x:c r="K372" s="4"/>
      <x:c r="L372" s="4"/>
      <x:c r="M372" s="4"/>
      <x:c r="N372" s="5"/>
    </x:row>
    <x:row r="373" ht="24" customHeight="1">
      <x:c r="A373" s="1" t="inlineStr">
        <x:is>
          <x:t xml:space="preserve">RESULT</x:t>
        </x:is>
      </x:c>
      <x:c r="B373" s="1" t="inlineStr">
        <x:is>
          <x:t xml:space="preserve">Round1</x:t>
        </x:is>
      </x:c>
      <x:c r="C373" s="1" t="inlineStr">
        <x:is>
          <x:t xml:space="preserve">JacksonCore_16</x:t>
        </x:is>
      </x:c>
      <x:c r="D373" s="1" t="inlineStr">
        <x:is>
          <x:t xml:space="preserve">NOT_AVAILABLE</x:t>
        </x:is>
      </x:c>
      <x:c r="E373" s="5"/>
      <x:c r="F373" s="4">
        <x:v>0</x:v>
      </x:c>
      <x:c r="G373" s="4">
        <x:v>4724</x:v>
      </x:c>
      <x:c r="H373" s="6">
        <x:v>100.28</x:v>
      </x:c>
      <x:c r="I373" s="16">
        <x:v>1</x:v>
      </x:c>
      <x:c r="J373"/>
      <x:c r="K373" s="4"/>
      <x:c r="L373" s="4"/>
      <x:c r="M373" s="4"/>
      <x:c r="N373" s="5"/>
    </x:row>
    <x:row r="374" ht="24" customHeight="1">
      <x:c r="A374" s="1" t="inlineStr">
        <x:is>
          <x:t xml:space="preserve">RESULT</x:t>
        </x:is>
      </x:c>
      <x:c r="B374" s="1" t="inlineStr">
        <x:is>
          <x:t xml:space="preserve">Round1</x:t>
        </x:is>
      </x:c>
      <x:c r="C374" s="1" t="inlineStr">
        <x:is>
          <x:t xml:space="preserve">JacksonCore_17</x:t>
        </x:is>
      </x:c>
      <x:c r="D374" s="1" t="inlineStr">
        <x:is>
          <x:t xml:space="preserve">NOT_AVAILABLE</x:t>
        </x:is>
      </x:c>
      <x:c r="E374" s="5"/>
      <x:c r="F374" s="4">
        <x:v>0</x:v>
      </x:c>
      <x:c r="G374" s="4">
        <x:v>16686</x:v>
      </x:c>
      <x:c r="H374" s="6">
        <x:v>85.32</x:v>
      </x:c>
      <x:c r="I374" s="16">
        <x:v>1</x:v>
      </x:c>
      <x:c r="J374"/>
      <x:c r="K374" s="4"/>
      <x:c r="L374" s="4"/>
      <x:c r="M374" s="4"/>
      <x:c r="N374" s="5"/>
    </x:row>
    <x:row r="375" ht="24" customHeight="1">
      <x:c r="A375" s="1" t="inlineStr">
        <x:is>
          <x:t xml:space="preserve">RESULT</x:t>
        </x:is>
      </x:c>
      <x:c r="B375" s="1" t="inlineStr">
        <x:is>
          <x:t xml:space="preserve">Round1</x:t>
        </x:is>
      </x:c>
      <x:c r="C375" s="1" t="inlineStr">
        <x:is>
          <x:t xml:space="preserve">JacksonCore_18</x:t>
        </x:is>
      </x:c>
      <x:c r="D375" s="1" t="inlineStr">
        <x:is>
          <x:t xml:space="preserve">NOT_AVAILABLE</x:t>
        </x:is>
      </x:c>
      <x:c r="E375" s="5"/>
      <x:c r="F375" s="4">
        <x:v>0</x:v>
      </x:c>
      <x:c r="G375" s="4">
        <x:v>47656</x:v>
      </x:c>
      <x:c r="H375" s="6">
        <x:v>461.13</x:v>
      </x:c>
      <x:c r="I375" s="16">
        <x:v>1</x:v>
      </x:c>
      <x:c r="J375"/>
      <x:c r="K375" s="4"/>
      <x:c r="L375" s="4"/>
      <x:c r="M375" s="4"/>
      <x:c r="N375" s="5"/>
    </x:row>
    <x:row r="376" ht="24" customHeight="1">
      <x:c r="A376" s="1" t="inlineStr">
        <x:is>
          <x:t xml:space="preserve">RESULT</x:t>
        </x:is>
      </x:c>
      <x:c r="B376" s="1" t="inlineStr">
        <x:is>
          <x:t xml:space="preserve">Round1</x:t>
        </x:is>
      </x:c>
      <x:c r="C376" s="1" t="inlineStr">
        <x:is>
          <x:t xml:space="preserve">JacksonCore_19</x:t>
        </x:is>
      </x:c>
      <x:c r="D376" s="1" t="inlineStr">
        <x:is>
          <x:t xml:space="preserve">NOT_AVAILABLE</x:t>
        </x:is>
      </x:c>
      <x:c r="E376" s="5"/>
      <x:c r="F376" s="4">
        <x:v>0</x:v>
      </x:c>
      <x:c r="G376" s="4">
        <x:v>52502</x:v>
      </x:c>
      <x:c r="H376" s="6">
        <x:v>377.63</x:v>
      </x:c>
      <x:c r="I376" s="16">
        <x:v>1</x:v>
      </x:c>
      <x:c r="J376"/>
      <x:c r="K376" s="4"/>
      <x:c r="L376" s="4"/>
      <x:c r="M376" s="4"/>
      <x:c r="N376" s="5"/>
    </x:row>
    <x:row r="377" ht="24" customHeight="1">
      <x:c r="A377" s="1" t="inlineStr">
        <x:is>
          <x:t xml:space="preserve">RESULT</x:t>
        </x:is>
      </x:c>
      <x:c r="B377" s="1" t="inlineStr">
        <x:is>
          <x:t xml:space="preserve">Round1</x:t>
        </x:is>
      </x:c>
      <x:c r="C377" s="1" t="inlineStr">
        <x:is>
          <x:t xml:space="preserve">JacksonCore_2</x:t>
        </x:is>
      </x:c>
      <x:c r="D377" s="1" t="inlineStr">
        <x:is>
          <x:t xml:space="preserve">NOT_AVAILABLE</x:t>
        </x:is>
      </x:c>
      <x:c r="E377" s="5"/>
      <x:c r="F377" s="4">
        <x:v>0</x:v>
      </x:c>
      <x:c r="G377" s="4">
        <x:v>39207</x:v>
      </x:c>
      <x:c r="H377" s="6">
        <x:v>188.86</x:v>
      </x:c>
      <x:c r="I377" s="16">
        <x:v>1</x:v>
      </x:c>
      <x:c r="J377"/>
      <x:c r="K377" s="4"/>
      <x:c r="L377" s="4"/>
      <x:c r="M377" s="4"/>
      <x:c r="N377" s="5"/>
    </x:row>
    <x:row r="378" ht="24" customHeight="1">
      <x:c r="A378" s="1" t="inlineStr">
        <x:is>
          <x:t xml:space="preserve">RESULT</x:t>
        </x:is>
      </x:c>
      <x:c r="B378" s="1" t="inlineStr">
        <x:is>
          <x:t xml:space="preserve">Round1</x:t>
        </x:is>
      </x:c>
      <x:c r="C378" s="1" t="inlineStr">
        <x:is>
          <x:t xml:space="preserve">JacksonCore_20</x:t>
        </x:is>
      </x:c>
      <x:c r="D378" s="1" t="inlineStr">
        <x:is>
          <x:t xml:space="preserve">NOT_AVAILABLE</x:t>
        </x:is>
      </x:c>
      <x:c r="E378" s="5"/>
      <x:c r="F378" s="4">
        <x:v>0</x:v>
      </x:c>
      <x:c r="G378" s="4">
        <x:v>11348</x:v>
      </x:c>
      <x:c r="H378" s="6">
        <x:v>249.52</x:v>
      </x:c>
      <x:c r="I378" s="16">
        <x:v>1</x:v>
      </x:c>
      <x:c r="J378"/>
      <x:c r="K378" s="4"/>
      <x:c r="L378" s="4"/>
      <x:c r="M378" s="4"/>
      <x:c r="N378" s="5"/>
    </x:row>
    <x:row r="379" ht="24" customHeight="1">
      <x:c r="A379" s="1" t="inlineStr">
        <x:is>
          <x:t xml:space="preserve">RESULT</x:t>
        </x:is>
      </x:c>
      <x:c r="B379" s="1" t="inlineStr">
        <x:is>
          <x:t xml:space="preserve">Round1</x:t>
        </x:is>
      </x:c>
      <x:c r="C379" s="1" t="inlineStr">
        <x:is>
          <x:t xml:space="preserve">JacksonCore_21</x:t>
        </x:is>
      </x:c>
      <x:c r="D379" s="1" t="inlineStr">
        <x:is>
          <x:t xml:space="preserve">NOT_AVAILABLE</x:t>
        </x:is>
      </x:c>
      <x:c r="E379" s="5"/>
      <x:c r="F379" s="4">
        <x:v>0</x:v>
      </x:c>
      <x:c r="G379" s="4">
        <x:v>9229</x:v>
      </x:c>
      <x:c r="H379" s="6">
        <x:v>124.62</x:v>
      </x:c>
      <x:c r="I379" s="16">
        <x:v>1</x:v>
      </x:c>
      <x:c r="J379"/>
      <x:c r="K379" s="4"/>
      <x:c r="L379" s="4"/>
      <x:c r="M379" s="4"/>
      <x:c r="N379" s="5"/>
    </x:row>
    <x:row r="380" ht="24" customHeight="1">
      <x:c r="A380" s="1" t="inlineStr">
        <x:is>
          <x:t xml:space="preserve">RESULT</x:t>
        </x:is>
      </x:c>
      <x:c r="B380" s="1" t="inlineStr">
        <x:is>
          <x:t xml:space="preserve">Round1</x:t>
        </x:is>
      </x:c>
      <x:c r="C380" s="1" t="inlineStr">
        <x:is>
          <x:t xml:space="preserve">JacksonCore_22</x:t>
        </x:is>
      </x:c>
      <x:c r="D380" s="1" t="inlineStr">
        <x:is>
          <x:t xml:space="preserve">NOT_AVAILABLE</x:t>
        </x:is>
      </x:c>
      <x:c r="E380" s="5"/>
      <x:c r="F380" s="4">
        <x:v>0</x:v>
      </x:c>
      <x:c r="G380" s="4">
        <x:v>10752</x:v>
      </x:c>
      <x:c r="H380" s="6">
        <x:v>187.0</x:v>
      </x:c>
      <x:c r="I380" s="16">
        <x:v>1</x:v>
      </x:c>
      <x:c r="J380"/>
      <x:c r="K380" s="4"/>
      <x:c r="L380" s="4"/>
      <x:c r="M380" s="4"/>
      <x:c r="N380" s="5"/>
    </x:row>
    <x:row r="381" ht="24" customHeight="1">
      <x:c r="A381" s="1" t="inlineStr">
        <x:is>
          <x:t xml:space="preserve">RESULT</x:t>
        </x:is>
      </x:c>
      <x:c r="B381" s="1" t="inlineStr">
        <x:is>
          <x:t xml:space="preserve">Round1</x:t>
        </x:is>
      </x:c>
      <x:c r="C381" s="1" t="inlineStr">
        <x:is>
          <x:t xml:space="preserve">JacksonCore_23</x:t>
        </x:is>
      </x:c>
      <x:c r="D381" s="1" t="inlineStr">
        <x:is>
          <x:t xml:space="preserve">NOT_AVAILABLE</x:t>
        </x:is>
      </x:c>
      <x:c r="E381" s="5"/>
      <x:c r="F381" s="4">
        <x:v>0</x:v>
      </x:c>
      <x:c r="G381" s="4">
        <x:v>7731</x:v>
      </x:c>
      <x:c r="H381" s="6">
        <x:v>144.07</x:v>
      </x:c>
      <x:c r="I381" s="16">
        <x:v>1</x:v>
      </x:c>
      <x:c r="J381"/>
      <x:c r="K381" s="4"/>
      <x:c r="L381" s="4"/>
      <x:c r="M381" s="4"/>
      <x:c r="N381" s="5"/>
    </x:row>
    <x:row r="382" ht="24" customHeight="1">
      <x:c r="A382" s="1" t="inlineStr">
        <x:is>
          <x:t xml:space="preserve">RESULT</x:t>
        </x:is>
      </x:c>
      <x:c r="B382" s="1" t="inlineStr">
        <x:is>
          <x:t xml:space="preserve">Round1</x:t>
        </x:is>
      </x:c>
      <x:c r="C382" s="1" t="inlineStr">
        <x:is>
          <x:t xml:space="preserve">JacksonCore_24</x:t>
        </x:is>
      </x:c>
      <x:c r="D382" s="1" t="inlineStr">
        <x:is>
          <x:t xml:space="preserve">NOT_AVAILABLE</x:t>
        </x:is>
      </x:c>
      <x:c r="E382" s="5"/>
      <x:c r="F382" s="4">
        <x:v>0</x:v>
      </x:c>
      <x:c r="G382" s="4">
        <x:v>23375</x:v>
      </x:c>
      <x:c r="H382" s="6">
        <x:v>368.1</x:v>
      </x:c>
      <x:c r="I382" s="16">
        <x:v>1</x:v>
      </x:c>
      <x:c r="J382"/>
      <x:c r="K382" s="4"/>
      <x:c r="L382" s="4"/>
      <x:c r="M382" s="4"/>
      <x:c r="N382" s="5"/>
    </x:row>
    <x:row r="383" ht="24" customHeight="1">
      <x:c r="A383" s="1" t="inlineStr">
        <x:is>
          <x:t xml:space="preserve">RESULT</x:t>
        </x:is>
      </x:c>
      <x:c r="B383" s="1" t="inlineStr">
        <x:is>
          <x:t xml:space="preserve">Round1</x:t>
        </x:is>
      </x:c>
      <x:c r="C383" s="1" t="inlineStr">
        <x:is>
          <x:t xml:space="preserve">JacksonCore_25</x:t>
        </x:is>
      </x:c>
      <x:c r="D383" s="1" t="inlineStr">
        <x:is>
          <x:t xml:space="preserve">NOT_AVAILABLE</x:t>
        </x:is>
      </x:c>
      <x:c r="E383" s="5"/>
      <x:c r="F383" s="4">
        <x:v>0</x:v>
      </x:c>
      <x:c r="G383" s="4">
        <x:v>24952</x:v>
      </x:c>
      <x:c r="H383" s="6">
        <x:v>91.4</x:v>
      </x:c>
      <x:c r="I383" s="16">
        <x:v>1</x:v>
      </x:c>
      <x:c r="J383"/>
      <x:c r="K383" s="4"/>
      <x:c r="L383" s="4"/>
      <x:c r="M383" s="4"/>
      <x:c r="N383" s="5"/>
    </x:row>
    <x:row r="384" ht="24" customHeight="1">
      <x:c r="A384" s="1" t="inlineStr">
        <x:is>
          <x:t xml:space="preserve">RESULT</x:t>
        </x:is>
      </x:c>
      <x:c r="B384" s="1" t="inlineStr">
        <x:is>
          <x:t xml:space="preserve">Round1</x:t>
        </x:is>
      </x:c>
      <x:c r="C384" s="1" t="inlineStr">
        <x:is>
          <x:t xml:space="preserve">JacksonCore_26</x:t>
        </x:is>
      </x:c>
      <x:c r="D384" s="1" t="inlineStr">
        <x:is>
          <x:t xml:space="preserve">INCONCLUSIVE</x:t>
        </x:is>
      </x:c>
      <x:c r="E384" s="5">
        <x:v>0.1404</x:v>
      </x:c>
      <x:c r="F384" s="4">
        <x:v>0</x:v>
      </x:c>
      <x:c r="G384" s="4">
        <x:v>26360</x:v>
      </x:c>
      <x:c r="H384" s="6">
        <x:v>66.37</x:v>
      </x:c>
      <x:c r="I384" s="16">
        <x:v>1</x:v>
      </x:c>
      <x:c r="J384">
        <x:v>1482</x:v>
      </x:c>
      <x:c r="K384" s="4">
        <x:v>208</x:v>
      </x:c>
      <x:c r="L384" s="4">
        <x:v>951</x:v>
      </x:c>
      <x:c r="M384" s="4">
        <x:v>101</x:v>
      </x:c>
      <x:c r="N384" s="5">
        <x:v>0.10619999999999999</x:v>
      </x:c>
    </x:row>
    <x:row r="385" ht="24" customHeight="1">
      <x:c r="A385" s="1" t="inlineStr">
        <x:is>
          <x:t xml:space="preserve">RESULT</x:t>
        </x:is>
      </x:c>
      <x:c r="B385" s="1" t="inlineStr">
        <x:is>
          <x:t xml:space="preserve">Round1</x:t>
        </x:is>
      </x:c>
      <x:c r="C385" s="1" t="inlineStr">
        <x:is>
          <x:t xml:space="preserve">JacksonCore_3</x:t>
        </x:is>
      </x:c>
      <x:c r="D385" s="1" t="inlineStr">
        <x:is>
          <x:t xml:space="preserve">NOT_AVAILABLE</x:t>
        </x:is>
      </x:c>
      <x:c r="E385" s="5"/>
      <x:c r="F385" s="4">
        <x:v>0</x:v>
      </x:c>
      <x:c r="G385" s="4">
        <x:v>25167</x:v>
      </x:c>
      <x:c r="H385" s="6">
        <x:v>115.17</x:v>
      </x:c>
      <x:c r="I385" s="16">
        <x:v>1</x:v>
      </x:c>
      <x:c r="J385"/>
      <x:c r="K385" s="4"/>
      <x:c r="L385" s="4"/>
      <x:c r="M385" s="4"/>
      <x:c r="N385" s="5"/>
    </x:row>
    <x:row r="386" ht="24" customHeight="1">
      <x:c r="A386" s="1" t="inlineStr">
        <x:is>
          <x:t xml:space="preserve">RESULT</x:t>
        </x:is>
      </x:c>
      <x:c r="B386" s="1" t="inlineStr">
        <x:is>
          <x:t xml:space="preserve">Round1</x:t>
        </x:is>
      </x:c>
      <x:c r="C386" s="1" t="inlineStr">
        <x:is>
          <x:t xml:space="preserve">JacksonCore_4</x:t>
        </x:is>
      </x:c>
      <x:c r="D386" s="1" t="inlineStr">
        <x:is>
          <x:t xml:space="preserve">NOT_AVAILABLE</x:t>
        </x:is>
      </x:c>
      <x:c r="E386" s="5"/>
      <x:c r="F386" s="4">
        <x:v>0</x:v>
      </x:c>
      <x:c r="G386" s="4">
        <x:v>8796</x:v>
      </x:c>
      <x:c r="H386" s="6">
        <x:v>78.71</x:v>
      </x:c>
      <x:c r="I386" s="16">
        <x:v>1</x:v>
      </x:c>
      <x:c r="J386"/>
      <x:c r="K386" s="4"/>
      <x:c r="L386" s="4"/>
      <x:c r="M386" s="4"/>
      <x:c r="N386" s="5"/>
    </x:row>
    <x:row r="387" ht="24" customHeight="1">
      <x:c r="A387" s="1" t="inlineStr">
        <x:is>
          <x:t xml:space="preserve">RESULT</x:t>
        </x:is>
      </x:c>
      <x:c r="B387" s="1" t="inlineStr">
        <x:is>
          <x:t xml:space="preserve">Round1</x:t>
        </x:is>
      </x:c>
      <x:c r="C387" s="1" t="inlineStr">
        <x:is>
          <x:t xml:space="preserve">JacksonCore_5</x:t>
        </x:is>
      </x:c>
      <x:c r="D387" s="1" t="inlineStr">
        <x:is>
          <x:t xml:space="preserve">NOT_AVAILABLE</x:t>
        </x:is>
      </x:c>
      <x:c r="E387" s="5"/>
      <x:c r="F387" s="4">
        <x:v>0</x:v>
      </x:c>
      <x:c r="G387" s="4">
        <x:v>5259</x:v>
      </x:c>
      <x:c r="H387" s="6">
        <x:v>70.73</x:v>
      </x:c>
      <x:c r="I387" s="16">
        <x:v>1</x:v>
      </x:c>
      <x:c r="J387"/>
      <x:c r="K387" s="4"/>
      <x:c r="L387" s="4"/>
      <x:c r="M387" s="4"/>
      <x:c r="N387" s="5"/>
    </x:row>
    <x:row r="388" ht="24" customHeight="1">
      <x:c r="A388" s="1" t="inlineStr">
        <x:is>
          <x:t xml:space="preserve">RESULT</x:t>
        </x:is>
      </x:c>
      <x:c r="B388" s="1" t="inlineStr">
        <x:is>
          <x:t xml:space="preserve">Round1</x:t>
        </x:is>
      </x:c>
      <x:c r="C388" s="1" t="inlineStr">
        <x:is>
          <x:t xml:space="preserve">JacksonCore_6</x:t>
        </x:is>
      </x:c>
      <x:c r="D388" s="1" t="inlineStr">
        <x:is>
          <x:t xml:space="preserve">INCONCLUSIVE</x:t>
        </x:is>
      </x:c>
      <x:c r="E388" s="5">
        <x:v>0.9523999999999999</x:v>
      </x:c>
      <x:c r="F388" s="4">
        <x:v>0</x:v>
      </x:c>
      <x:c r="G388" s="4">
        <x:v>4525</x:v>
      </x:c>
      <x:c r="H388" s="6">
        <x:v>43.93</x:v>
      </x:c>
      <x:c r="I388" s="16">
        <x:v>1</x:v>
      </x:c>
      <x:c r="J388">
        <x:v>84</x:v>
      </x:c>
      <x:c r="K388" s="4">
        <x:v>80</x:v>
      </x:c>
      <x:c r="L388" s="4">
        <x:v>62</x:v>
      </x:c>
      <x:c r="M388" s="4">
        <x:v>54</x:v>
      </x:c>
      <x:c r="N388" s="5">
        <x:v>0.871</x:v>
      </x:c>
    </x:row>
    <x:row r="389" ht="24" customHeight="1">
      <x:c r="A389" s="1" t="inlineStr">
        <x:is>
          <x:t xml:space="preserve">RESULT</x:t>
        </x:is>
      </x:c>
      <x:c r="B389" s="1" t="inlineStr">
        <x:is>
          <x:t xml:space="preserve">Round1</x:t>
        </x:is>
      </x:c>
      <x:c r="C389" s="1" t="inlineStr">
        <x:is>
          <x:t xml:space="preserve">JacksonCore_7</x:t>
        </x:is>
      </x:c>
      <x:c r="D389" s="1" t="inlineStr">
        <x:is>
          <x:t xml:space="preserve">NOT_AVAILABLE</x:t>
        </x:is>
      </x:c>
      <x:c r="E389" s="5"/>
      <x:c r="F389" s="4">
        <x:v>0</x:v>
      </x:c>
      <x:c r="G389" s="4">
        <x:v>4844</x:v>
      </x:c>
      <x:c r="H389" s="6">
        <x:v>72.19</x:v>
      </x:c>
      <x:c r="I389" s="16">
        <x:v>1</x:v>
      </x:c>
      <x:c r="J389"/>
      <x:c r="K389" s="4"/>
      <x:c r="L389" s="4"/>
      <x:c r="M389" s="4"/>
      <x:c r="N389" s="5"/>
    </x:row>
    <x:row r="390" ht="24" customHeight="1">
      <x:c r="A390" s="1" t="inlineStr">
        <x:is>
          <x:t xml:space="preserve">RESULT</x:t>
        </x:is>
      </x:c>
      <x:c r="B390" s="1" t="inlineStr">
        <x:is>
          <x:t xml:space="preserve">Round1</x:t>
        </x:is>
      </x:c>
      <x:c r="C390" s="1" t="inlineStr">
        <x:is>
          <x:t xml:space="preserve">JacksonCore_8</x:t>
        </x:is>
      </x:c>
      <x:c r="D390" s="1" t="inlineStr">
        <x:is>
          <x:t xml:space="preserve">INCONCLUSIVE</x:t>
        </x:is>
      </x:c>
      <x:c r="E390" s="5">
        <x:v>0.6052000000000001</x:v>
      </x:c>
      <x:c r="F390" s="4">
        <x:v>0</x:v>
      </x:c>
      <x:c r="G390" s="4">
        <x:v>9426</x:v>
      </x:c>
      <x:c r="H390" s="6">
        <x:v>104.46</x:v>
      </x:c>
      <x:c r="I390" s="16">
        <x:v>1</x:v>
      </x:c>
      <x:c r="J390">
        <x:v>271</x:v>
      </x:c>
      <x:c r="K390" s="4">
        <x:v>164</x:v>
      </x:c>
      <x:c r="L390" s="4">
        <x:v>138</x:v>
      </x:c>
      <x:c r="M390" s="4">
        <x:v>67</x:v>
      </x:c>
      <x:c r="N390" s="5">
        <x:v>0.4855</x:v>
      </x:c>
    </x:row>
    <x:row r="391" ht="24" customHeight="1">
      <x:c r="A391" s="1" t="inlineStr">
        <x:is>
          <x:t xml:space="preserve">RESULT</x:t>
        </x:is>
      </x:c>
      <x:c r="B391" s="1" t="inlineStr">
        <x:is>
          <x:t xml:space="preserve">Round1</x:t>
        </x:is>
      </x:c>
      <x:c r="C391" s="1" t="inlineStr">
        <x:is>
          <x:t xml:space="preserve">JacksonCore_9</x:t>
        </x:is>
      </x:c>
      <x:c r="D391" s="1" t="inlineStr">
        <x:is>
          <x:t xml:space="preserve">NOT_AVAILABLE</x:t>
        </x:is>
      </x:c>
      <x:c r="E391" s="5"/>
      <x:c r="F391" s="4">
        <x:v>0</x:v>
      </x:c>
      <x:c r="G391" s="4">
        <x:v>54816</x:v>
      </x:c>
      <x:c r="H391" s="6">
        <x:v>298.88</x:v>
      </x:c>
      <x:c r="I391" s="16">
        <x:v>1</x:v>
      </x:c>
      <x:c r="J391"/>
      <x:c r="K391" s="4"/>
      <x:c r="L391" s="4"/>
      <x:c r="M391" s="4"/>
      <x:c r="N391" s="5"/>
    </x:row>
    <x:row r="392" ht="24" customHeight="1">
      <x:c r="A392" s="1" t="inlineStr">
        <x:is>
          <x:t xml:space="preserve">RESULT</x:t>
        </x:is>
      </x:c>
      <x:c r="B392" s="1" t="inlineStr">
        <x:is>
          <x:t xml:space="preserve">Round1</x:t>
        </x:is>
      </x:c>
      <x:c r="C392" s="1" t="inlineStr">
        <x:is>
          <x:t xml:space="preserve">JacksonDatabind_1</x:t>
        </x:is>
      </x:c>
      <x:c r="D392" s="1" t="inlineStr">
        <x:is>
          <x:t xml:space="preserve">NOT_AVAILABLE</x:t>
        </x:is>
      </x:c>
      <x:c r="E392" s="5"/>
      <x:c r="F392" s="4">
        <x:v>0</x:v>
      </x:c>
      <x:c r="G392" s="4">
        <x:v>11178</x:v>
      </x:c>
      <x:c r="H392" s="6">
        <x:v>193.51</x:v>
      </x:c>
      <x:c r="I392" s="16">
        <x:v>1</x:v>
      </x:c>
      <x:c r="J392"/>
      <x:c r="K392" s="4"/>
      <x:c r="L392" s="4"/>
      <x:c r="M392" s="4"/>
      <x:c r="N392" s="5"/>
    </x:row>
    <x:row r="393" ht="24" customHeight="1">
      <x:c r="A393" s="1" t="inlineStr">
        <x:is>
          <x:t xml:space="preserve">RESULT</x:t>
        </x:is>
      </x:c>
      <x:c r="B393" s="1" t="inlineStr">
        <x:is>
          <x:t xml:space="preserve">Round1</x:t>
        </x:is>
      </x:c>
      <x:c r="C393" s="1" t="inlineStr">
        <x:is>
          <x:t xml:space="preserve">JacksonDatabind_10</x:t>
        </x:is>
      </x:c>
      <x:c r="D393" s="1" t="inlineStr">
        <x:is>
          <x:t xml:space="preserve">NOT_AVAILABLE</x:t>
        </x:is>
      </x:c>
      <x:c r="E393" s="5"/>
      <x:c r="F393" s="4">
        <x:v>0</x:v>
      </x:c>
      <x:c r="G393" s="4">
        <x:v>12959</x:v>
      </x:c>
      <x:c r="H393" s="6">
        <x:v>228.31</x:v>
      </x:c>
      <x:c r="I393" s="16">
        <x:v>1</x:v>
      </x:c>
      <x:c r="J393"/>
      <x:c r="K393" s="4"/>
      <x:c r="L393" s="4"/>
      <x:c r="M393" s="4"/>
      <x:c r="N393" s="5"/>
    </x:row>
    <x:row r="394" ht="24" customHeight="1">
      <x:c r="A394" s="1" t="inlineStr">
        <x:is>
          <x:t xml:space="preserve">RESULT</x:t>
        </x:is>
      </x:c>
      <x:c r="B394" s="1" t="inlineStr">
        <x:is>
          <x:t xml:space="preserve">Round1</x:t>
        </x:is>
      </x:c>
      <x:c r="C394" s="1" t="inlineStr">
        <x:is>
          <x:t xml:space="preserve">JacksonDatabind_100</x:t>
        </x:is>
      </x:c>
      <x:c r="D394" s="1" t="inlineStr">
        <x:is>
          <x:t xml:space="preserve">NOT_AVAILABLE</x:t>
        </x:is>
      </x:c>
      <x:c r="E394" s="5"/>
      <x:c r="F394" s="4">
        <x:v>0</x:v>
      </x:c>
      <x:c r="G394" s="4">
        <x:v>6790</x:v>
      </x:c>
      <x:c r="H394" s="6">
        <x:v>122.61</x:v>
      </x:c>
      <x:c r="I394" s="16">
        <x:v>1</x:v>
      </x:c>
      <x:c r="J394"/>
      <x:c r="K394" s="4"/>
      <x:c r="L394" s="4"/>
      <x:c r="M394" s="4"/>
      <x:c r="N394" s="5"/>
    </x:row>
    <x:row r="395" ht="24" customHeight="1">
      <x:c r="A395" s="1" t="inlineStr">
        <x:is>
          <x:t xml:space="preserve">RESULT</x:t>
        </x:is>
      </x:c>
      <x:c r="B395" s="1" t="inlineStr">
        <x:is>
          <x:t xml:space="preserve">Round1</x:t>
        </x:is>
      </x:c>
      <x:c r="C395" s="1" t="inlineStr">
        <x:is>
          <x:t xml:space="preserve">JacksonDatabind_101</x:t>
        </x:is>
      </x:c>
      <x:c r="D395" s="1" t="inlineStr">
        <x:is>
          <x:t xml:space="preserve">NOT_AVAILABLE</x:t>
        </x:is>
      </x:c>
      <x:c r="E395" s="5"/>
      <x:c r="F395" s="4">
        <x:v>0</x:v>
      </x:c>
      <x:c r="G395" s="4">
        <x:v>10850</x:v>
      </x:c>
      <x:c r="H395" s="6">
        <x:v>131.3</x:v>
      </x:c>
      <x:c r="I395" s="16">
        <x:v>1</x:v>
      </x:c>
      <x:c r="J395"/>
      <x:c r="K395" s="4"/>
      <x:c r="L395" s="4"/>
      <x:c r="M395" s="4"/>
      <x:c r="N395" s="5"/>
    </x:row>
    <x:row r="396" ht="24" customHeight="1">
      <x:c r="A396" s="1" t="inlineStr">
        <x:is>
          <x:t xml:space="preserve">RESULT</x:t>
        </x:is>
      </x:c>
      <x:c r="B396" s="1" t="inlineStr">
        <x:is>
          <x:t xml:space="preserve">Round1</x:t>
        </x:is>
      </x:c>
      <x:c r="C396" s="1" t="inlineStr">
        <x:is>
          <x:t xml:space="preserve">JacksonDatabind_102</x:t>
        </x:is>
      </x:c>
      <x:c r="D396" s="1" t="inlineStr">
        <x:is>
          <x:t xml:space="preserve">NOT_AVAILABLE</x:t>
        </x:is>
      </x:c>
      <x:c r="E396" s="5"/>
      <x:c r="F396" s="4">
        <x:v>0</x:v>
      </x:c>
      <x:c r="G396" s="4">
        <x:v>5770</x:v>
      </x:c>
      <x:c r="H396" s="6">
        <x:v>106.89</x:v>
      </x:c>
      <x:c r="I396" s="16">
        <x:v>1</x:v>
      </x:c>
      <x:c r="J396"/>
      <x:c r="K396" s="4"/>
      <x:c r="L396" s="4"/>
      <x:c r="M396" s="4"/>
      <x:c r="N396" s="5"/>
    </x:row>
    <x:row r="397" ht="24" customHeight="1">
      <x:c r="A397" s="1" t="inlineStr">
        <x:is>
          <x:t xml:space="preserve">RESULT</x:t>
        </x:is>
      </x:c>
      <x:c r="B397" s="1" t="inlineStr">
        <x:is>
          <x:t xml:space="preserve">Round1</x:t>
        </x:is>
      </x:c>
      <x:c r="C397" s="1" t="inlineStr">
        <x:is>
          <x:t xml:space="preserve">JacksonDatabind_103</x:t>
        </x:is>
      </x:c>
      <x:c r="D397" s="1" t="inlineStr">
        <x:is>
          <x:t xml:space="preserve">NOT_AVAILABLE</x:t>
        </x:is>
      </x:c>
      <x:c r="E397" s="5"/>
      <x:c r="F397" s="4">
        <x:v>0</x:v>
      </x:c>
      <x:c r="G397" s="4">
        <x:v>162360</x:v>
      </x:c>
      <x:c r="H397" s="6">
        <x:v>2297.41</x:v>
      </x:c>
      <x:c r="I397" s="16">
        <x:v>1</x:v>
      </x:c>
      <x:c r="J397"/>
      <x:c r="K397" s="4"/>
      <x:c r="L397" s="4"/>
      <x:c r="M397" s="4"/>
      <x:c r="N397" s="5"/>
    </x:row>
    <x:row r="398" ht="24" customHeight="1">
      <x:c r="A398" s="1" t="inlineStr">
        <x:is>
          <x:t xml:space="preserve">RESULT</x:t>
        </x:is>
      </x:c>
      <x:c r="B398" s="1" t="inlineStr">
        <x:is>
          <x:t xml:space="preserve">Round1</x:t>
        </x:is>
      </x:c>
      <x:c r="C398" s="1" t="inlineStr">
        <x:is>
          <x:t xml:space="preserve">JacksonDatabind_104</x:t>
        </x:is>
      </x:c>
      <x:c r="D398" s="1" t="inlineStr">
        <x:is>
          <x:t xml:space="preserve">NOT_AVAILABLE</x:t>
        </x:is>
      </x:c>
      <x:c r="E398" s="5"/>
      <x:c r="F398" s="4">
        <x:v>0</x:v>
      </x:c>
      <x:c r="G398" s="4">
        <x:v>7484</x:v>
      </x:c>
      <x:c r="H398" s="6">
        <x:v>67.78</x:v>
      </x:c>
      <x:c r="I398" s="16">
        <x:v>1</x:v>
      </x:c>
      <x:c r="J398"/>
      <x:c r="K398" s="4"/>
      <x:c r="L398" s="4"/>
      <x:c r="M398" s="4"/>
      <x:c r="N398" s="5"/>
    </x:row>
    <x:row r="399" ht="24" customHeight="1">
      <x:c r="A399" s="1" t="inlineStr">
        <x:is>
          <x:t xml:space="preserve">RESULT</x:t>
        </x:is>
      </x:c>
      <x:c r="B399" s="1" t="inlineStr">
        <x:is>
          <x:t xml:space="preserve">Round1</x:t>
        </x:is>
      </x:c>
      <x:c r="C399" s="1" t="inlineStr">
        <x:is>
          <x:t xml:space="preserve">JacksonDatabind_105</x:t>
        </x:is>
      </x:c>
      <x:c r="D399" s="1" t="inlineStr">
        <x:is>
          <x:t xml:space="preserve">INCONCLUSIVE</x:t>
        </x:is>
      </x:c>
      <x:c r="E399" s="5">
        <x:v>0.8946999999999999</x:v>
      </x:c>
      <x:c r="F399" s="4">
        <x:v>0</x:v>
      </x:c>
      <x:c r="G399" s="4">
        <x:v>2205</x:v>
      </x:c>
      <x:c r="H399" s="6">
        <x:v>17.89</x:v>
      </x:c>
      <x:c r="I399" s="16">
        <x:v>1</x:v>
      </x:c>
      <x:c r="J399">
        <x:v>19</x:v>
      </x:c>
      <x:c r="K399" s="4">
        <x:v>17</x:v>
      </x:c>
      <x:c r="L399" s="4">
        <x:v>12</x:v>
      </x:c>
      <x:c r="M399" s="4">
        <x:v>10</x:v>
      </x:c>
      <x:c r="N399" s="5">
        <x:v>0.8332999999999999</x:v>
      </x:c>
    </x:row>
    <x:row r="400" ht="24" customHeight="1">
      <x:c r="A400" s="1" t="inlineStr">
        <x:is>
          <x:t xml:space="preserve">RESULT</x:t>
        </x:is>
      </x:c>
      <x:c r="B400" s="1" t="inlineStr">
        <x:is>
          <x:t xml:space="preserve">Round1</x:t>
        </x:is>
      </x:c>
      <x:c r="C400" s="1" t="inlineStr">
        <x:is>
          <x:t xml:space="preserve">JacksonDatabind_106</x:t>
        </x:is>
      </x:c>
      <x:c r="D400" s="1" t="inlineStr">
        <x:is>
          <x:t xml:space="preserve">NOT_AVAILABLE</x:t>
        </x:is>
      </x:c>
      <x:c r="E400" s="5"/>
      <x:c r="F400" s="4">
        <x:v>0</x:v>
      </x:c>
      <x:c r="G400" s="4">
        <x:v>14175</x:v>
      </x:c>
      <x:c r="H400" s="6">
        <x:v>333.32</x:v>
      </x:c>
      <x:c r="I400" s="16">
        <x:v>1</x:v>
      </x:c>
      <x:c r="J400"/>
      <x:c r="K400" s="4"/>
      <x:c r="L400" s="4"/>
      <x:c r="M400" s="4"/>
      <x:c r="N400" s="5"/>
    </x:row>
    <x:row r="401" ht="24" customHeight="1">
      <x:c r="A401" s="1" t="inlineStr">
        <x:is>
          <x:t xml:space="preserve">RESULT</x:t>
        </x:is>
      </x:c>
      <x:c r="B401" s="1" t="inlineStr">
        <x:is>
          <x:t xml:space="preserve">Round1</x:t>
        </x:is>
      </x:c>
      <x:c r="C401" s="1" t="inlineStr">
        <x:is>
          <x:t xml:space="preserve">JacksonDatabind_107</x:t>
        </x:is>
      </x:c>
      <x:c r="D401" s="1" t="inlineStr">
        <x:is>
          <x:t xml:space="preserve">NOT_AVAILABLE</x:t>
        </x:is>
      </x:c>
      <x:c r="E401" s="5"/>
      <x:c r="F401" s="4">
        <x:v>0</x:v>
      </x:c>
      <x:c r="G401" s="4">
        <x:v>6855</x:v>
      </x:c>
      <x:c r="H401" s="6">
        <x:v>96.53</x:v>
      </x:c>
      <x:c r="I401" s="16">
        <x:v>1</x:v>
      </x:c>
      <x:c r="J401"/>
      <x:c r="K401" s="4"/>
      <x:c r="L401" s="4"/>
      <x:c r="M401" s="4"/>
      <x:c r="N401" s="5"/>
    </x:row>
    <x:row r="402" ht="24" customHeight="1">
      <x:c r="A402" s="1" t="inlineStr">
        <x:is>
          <x:t xml:space="preserve">RESULT</x:t>
        </x:is>
      </x:c>
      <x:c r="B402" s="1" t="inlineStr">
        <x:is>
          <x:t xml:space="preserve">Round1</x:t>
        </x:is>
      </x:c>
      <x:c r="C402" s="1" t="inlineStr">
        <x:is>
          <x:t xml:space="preserve">JacksonDatabind_108</x:t>
        </x:is>
      </x:c>
      <x:c r="D402" s="1" t="inlineStr">
        <x:is>
          <x:t xml:space="preserve">NOT_AVAILABLE</x:t>
        </x:is>
      </x:c>
      <x:c r="E402" s="5"/>
      <x:c r="F402" s="4">
        <x:v>0</x:v>
      </x:c>
      <x:c r="G402" s="4">
        <x:v>18257</x:v>
      </x:c>
      <x:c r="H402" s="6">
        <x:v>293.89</x:v>
      </x:c>
      <x:c r="I402" s="16">
        <x:v>1</x:v>
      </x:c>
      <x:c r="J402"/>
      <x:c r="K402" s="4"/>
      <x:c r="L402" s="4"/>
      <x:c r="M402" s="4"/>
      <x:c r="N402" s="5"/>
    </x:row>
    <x:row r="403" ht="24" customHeight="1">
      <x:c r="A403" s="1" t="inlineStr">
        <x:is>
          <x:t xml:space="preserve">RESULT</x:t>
        </x:is>
      </x:c>
      <x:c r="B403" s="1" t="inlineStr">
        <x:is>
          <x:t xml:space="preserve">Round1</x:t>
        </x:is>
      </x:c>
      <x:c r="C403" s="1" t="inlineStr">
        <x:is>
          <x:t xml:space="preserve">JacksonDatabind_109</x:t>
        </x:is>
      </x:c>
      <x:c r="D403" s="1" t="inlineStr">
        <x:is>
          <x:t xml:space="preserve">NOT_AVAILABLE</x:t>
        </x:is>
      </x:c>
      <x:c r="E403" s="5"/>
      <x:c r="F403" s="4">
        <x:v>0</x:v>
      </x:c>
      <x:c r="G403" s="4">
        <x:v>11969</x:v>
      </x:c>
      <x:c r="H403" s="6">
        <x:v>224.83</x:v>
      </x:c>
      <x:c r="I403" s="16">
        <x:v>1</x:v>
      </x:c>
      <x:c r="J403"/>
      <x:c r="K403" s="4"/>
      <x:c r="L403" s="4"/>
      <x:c r="M403" s="4"/>
      <x:c r="N403" s="5"/>
    </x:row>
    <x:row r="404" ht="24" customHeight="1">
      <x:c r="A404" s="1" t="inlineStr">
        <x:is>
          <x:t xml:space="preserve">RESULT</x:t>
        </x:is>
      </x:c>
      <x:c r="B404" s="1" t="inlineStr">
        <x:is>
          <x:t xml:space="preserve">Round1</x:t>
        </x:is>
      </x:c>
      <x:c r="C404" s="1" t="inlineStr">
        <x:is>
          <x:t xml:space="preserve">JacksonDatabind_11</x:t>
        </x:is>
      </x:c>
      <x:c r="D404" s="1" t="inlineStr">
        <x:is>
          <x:t xml:space="preserve">NOT_AVAILABLE</x:t>
        </x:is>
      </x:c>
      <x:c r="E404" s="5"/>
      <x:c r="F404" s="4">
        <x:v>0</x:v>
      </x:c>
      <x:c r="G404" s="4">
        <x:v>9895</x:v>
      </x:c>
      <x:c r="H404" s="6">
        <x:v>108.29</x:v>
      </x:c>
      <x:c r="I404" s="16">
        <x:v>1</x:v>
      </x:c>
      <x:c r="J404"/>
      <x:c r="K404" s="4"/>
      <x:c r="L404" s="4"/>
      <x:c r="M404" s="4"/>
      <x:c r="N404" s="5"/>
    </x:row>
    <x:row r="405" ht="24" customHeight="1">
      <x:c r="A405" s="1" t="inlineStr">
        <x:is>
          <x:t xml:space="preserve">RESULT</x:t>
        </x:is>
      </x:c>
      <x:c r="B405" s="1" t="inlineStr">
        <x:is>
          <x:t xml:space="preserve">Round1</x:t>
        </x:is>
      </x:c>
      <x:c r="C405" s="1" t="inlineStr">
        <x:is>
          <x:t xml:space="preserve">JacksonDatabind_110</x:t>
        </x:is>
      </x:c>
      <x:c r="D405" s="1" t="inlineStr">
        <x:is>
          <x:t xml:space="preserve">NOT_AVAILABLE</x:t>
        </x:is>
      </x:c>
      <x:c r="E405" s="5"/>
      <x:c r="F405" s="4">
        <x:v>0</x:v>
      </x:c>
      <x:c r="G405" s="4">
        <x:v>5379</x:v>
      </x:c>
      <x:c r="H405" s="6">
        <x:v>70.89</x:v>
      </x:c>
      <x:c r="I405" s="16">
        <x:v>1</x:v>
      </x:c>
      <x:c r="J405"/>
      <x:c r="K405" s="4"/>
      <x:c r="L405" s="4"/>
      <x:c r="M405" s="4"/>
      <x:c r="N405" s="5"/>
    </x:row>
    <x:row r="406" ht="24" customHeight="1">
      <x:c r="A406" s="1" t="inlineStr">
        <x:is>
          <x:t xml:space="preserve">RESULT</x:t>
        </x:is>
      </x:c>
      <x:c r="B406" s="1" t="inlineStr">
        <x:is>
          <x:t xml:space="preserve">Round1</x:t>
        </x:is>
      </x:c>
      <x:c r="C406" s="1" t="inlineStr">
        <x:is>
          <x:t xml:space="preserve">JacksonDatabind_111</x:t>
        </x:is>
      </x:c>
      <x:c r="D406" s="1" t="inlineStr">
        <x:is>
          <x:t xml:space="preserve">NOT_AVAILABLE</x:t>
        </x:is>
      </x:c>
      <x:c r="E406" s="5"/>
      <x:c r="F406" s="4">
        <x:v>0</x:v>
      </x:c>
      <x:c r="G406" s="4">
        <x:v>41383</x:v>
      </x:c>
      <x:c r="H406" s="6">
        <x:v>805.16</x:v>
      </x:c>
      <x:c r="I406" s="16">
        <x:v>1</x:v>
      </x:c>
      <x:c r="J406"/>
      <x:c r="K406" s="4"/>
      <x:c r="L406" s="4"/>
      <x:c r="M406" s="4"/>
      <x:c r="N406" s="5"/>
    </x:row>
    <x:row r="407" ht="24" customHeight="1">
      <x:c r="A407" s="1" t="inlineStr">
        <x:is>
          <x:t xml:space="preserve">RESULT</x:t>
        </x:is>
      </x:c>
      <x:c r="B407" s="1" t="inlineStr">
        <x:is>
          <x:t xml:space="preserve">Round1</x:t>
        </x:is>
      </x:c>
      <x:c r="C407" s="1" t="inlineStr">
        <x:is>
          <x:t xml:space="preserve">JacksonDatabind_112</x:t>
        </x:is>
      </x:c>
      <x:c r="D407" s="1" t="inlineStr">
        <x:is>
          <x:t xml:space="preserve">NOT_AVAILABLE</x:t>
        </x:is>
      </x:c>
      <x:c r="E407" s="5"/>
      <x:c r="F407" s="4">
        <x:v>0</x:v>
      </x:c>
      <x:c r="G407" s="4">
        <x:v>7032</x:v>
      </x:c>
      <x:c r="H407" s="6">
        <x:v>103.67</x:v>
      </x:c>
      <x:c r="I407" s="16">
        <x:v>1</x:v>
      </x:c>
      <x:c r="J407"/>
      <x:c r="K407" s="4"/>
      <x:c r="L407" s="4"/>
      <x:c r="M407" s="4"/>
      <x:c r="N407" s="5"/>
    </x:row>
    <x:row r="408" ht="24" customHeight="1">
      <x:c r="A408" s="1" t="inlineStr">
        <x:is>
          <x:t xml:space="preserve">RESULT</x:t>
        </x:is>
      </x:c>
      <x:c r="B408" s="1" t="inlineStr">
        <x:is>
          <x:t xml:space="preserve">Round1</x:t>
        </x:is>
      </x:c>
      <x:c r="C408" s="1" t="inlineStr">
        <x:is>
          <x:t xml:space="preserve">JacksonDatabind_12</x:t>
        </x:is>
      </x:c>
      <x:c r="D408" s="1" t="inlineStr">
        <x:is>
          <x:t xml:space="preserve">NOT_AVAILABLE</x:t>
        </x:is>
      </x:c>
      <x:c r="E408" s="5"/>
      <x:c r="F408" s="4">
        <x:v>0</x:v>
      </x:c>
      <x:c r="G408" s="4">
        <x:v>13547</x:v>
      </x:c>
      <x:c r="H408" s="6">
        <x:v>66.85</x:v>
      </x:c>
      <x:c r="I408" s="16">
        <x:v>1</x:v>
      </x:c>
      <x:c r="J408"/>
      <x:c r="K408" s="4"/>
      <x:c r="L408" s="4"/>
      <x:c r="M408" s="4"/>
      <x:c r="N408" s="5"/>
    </x:row>
    <x:row r="409" ht="24" customHeight="1">
      <x:c r="A409" s="1" t="inlineStr">
        <x:is>
          <x:t xml:space="preserve">RESULT</x:t>
        </x:is>
      </x:c>
      <x:c r="B409" s="1" t="inlineStr">
        <x:is>
          <x:t xml:space="preserve">Round1</x:t>
        </x:is>
      </x:c>
      <x:c r="C409" s="1" t="inlineStr">
        <x:is>
          <x:t xml:space="preserve">JacksonDatabind_13</x:t>
        </x:is>
      </x:c>
      <x:c r="D409" s="1" t="inlineStr">
        <x:is>
          <x:t xml:space="preserve">NOT_AVAILABLE</x:t>
        </x:is>
      </x:c>
      <x:c r="E409" s="5"/>
      <x:c r="F409" s="4">
        <x:v>0</x:v>
      </x:c>
      <x:c r="G409" s="4">
        <x:v>9422</x:v>
      </x:c>
      <x:c r="H409" s="6">
        <x:v>112.02</x:v>
      </x:c>
      <x:c r="I409" s="16">
        <x:v>1</x:v>
      </x:c>
      <x:c r="J409"/>
      <x:c r="K409" s="4"/>
      <x:c r="L409" s="4"/>
      <x:c r="M409" s="4"/>
      <x:c r="N409" s="5"/>
    </x:row>
    <x:row r="410" ht="24" customHeight="1">
      <x:c r="A410" s="1" t="inlineStr">
        <x:is>
          <x:t xml:space="preserve">RESULT</x:t>
        </x:is>
      </x:c>
      <x:c r="B410" s="1" t="inlineStr">
        <x:is>
          <x:t xml:space="preserve">Round1</x:t>
        </x:is>
      </x:c>
      <x:c r="C410" s="1" t="inlineStr">
        <x:is>
          <x:t xml:space="preserve">JacksonDatabind_14</x:t>
        </x:is>
      </x:c>
      <x:c r="D410" s="1" t="inlineStr">
        <x:is>
          <x:t xml:space="preserve">NOT_AVAILABLE</x:t>
        </x:is>
      </x:c>
      <x:c r="E410" s="5"/>
      <x:c r="F410" s="4">
        <x:v>0</x:v>
      </x:c>
      <x:c r="G410" s="4">
        <x:v>15122</x:v>
      </x:c>
      <x:c r="H410" s="6">
        <x:v>188.53</x:v>
      </x:c>
      <x:c r="I410" s="16">
        <x:v>1</x:v>
      </x:c>
      <x:c r="J410"/>
      <x:c r="K410" s="4"/>
      <x:c r="L410" s="4"/>
      <x:c r="M410" s="4"/>
      <x:c r="N410" s="5"/>
    </x:row>
    <x:row r="411" ht="24" customHeight="1">
      <x:c r="A411" s="1" t="inlineStr">
        <x:is>
          <x:t xml:space="preserve">RESULT</x:t>
        </x:is>
      </x:c>
      <x:c r="B411" s="1" t="inlineStr">
        <x:is>
          <x:t xml:space="preserve">Round1</x:t>
        </x:is>
      </x:c>
      <x:c r="C411" s="1" t="inlineStr">
        <x:is>
          <x:t xml:space="preserve">JacksonDatabind_15</x:t>
        </x:is>
      </x:c>
      <x:c r="D411" s="1" t="inlineStr">
        <x:is>
          <x:t xml:space="preserve">NOT_AVAILABLE</x:t>
        </x:is>
      </x:c>
      <x:c r="E411" s="5"/>
      <x:c r="F411" s="4">
        <x:v>0</x:v>
      </x:c>
      <x:c r="G411" s="4">
        <x:v>37235</x:v>
      </x:c>
      <x:c r="H411" s="6">
        <x:v>456.01</x:v>
      </x:c>
      <x:c r="I411" s="16">
        <x:v>1</x:v>
      </x:c>
      <x:c r="J411"/>
      <x:c r="K411" s="4"/>
      <x:c r="L411" s="4"/>
      <x:c r="M411" s="4"/>
      <x:c r="N411" s="5"/>
    </x:row>
    <x:row r="412" ht="24" customHeight="1">
      <x:c r="A412" s="1" t="inlineStr">
        <x:is>
          <x:t xml:space="preserve">RESULT</x:t>
        </x:is>
      </x:c>
      <x:c r="B412" s="1" t="inlineStr">
        <x:is>
          <x:t xml:space="preserve">Round1</x:t>
        </x:is>
      </x:c>
      <x:c r="C412" s="1" t="inlineStr">
        <x:is>
          <x:t xml:space="preserve">JacksonDatabind_16</x:t>
        </x:is>
      </x:c>
      <x:c r="D412" s="1" t="inlineStr">
        <x:is>
          <x:t xml:space="preserve">INCONCLUSIVE</x:t>
        </x:is>
      </x:c>
      <x:c r="E412" s="5">
        <x:v>1.0</x:v>
      </x:c>
      <x:c r="F412" s="4">
        <x:v>0</x:v>
      </x:c>
      <x:c r="G412" s="4">
        <x:v>3389</x:v>
      </x:c>
      <x:c r="H412" s="6">
        <x:v>45.92</x:v>
      </x:c>
      <x:c r="I412" s="16">
        <x:v>1</x:v>
      </x:c>
      <x:c r="J412">
        <x:v>35</x:v>
      </x:c>
      <x:c r="K412" s="4">
        <x:v>35</x:v>
      </x:c>
      <x:c r="L412" s="4">
        <x:v>36</x:v>
      </x:c>
      <x:c r="M412" s="4">
        <x:v>31</x:v>
      </x:c>
      <x:c r="N412" s="5">
        <x:v>0.8611</x:v>
      </x:c>
    </x:row>
    <x:row r="413" ht="24" customHeight="1">
      <x:c r="A413" s="1" t="inlineStr">
        <x:is>
          <x:t xml:space="preserve">RESULT</x:t>
        </x:is>
      </x:c>
      <x:c r="B413" s="1" t="inlineStr">
        <x:is>
          <x:t xml:space="preserve">Round1</x:t>
        </x:is>
      </x:c>
      <x:c r="C413" s="1" t="inlineStr">
        <x:is>
          <x:t xml:space="preserve">JacksonDatabind_17</x:t>
        </x:is>
      </x:c>
      <x:c r="D413" s="1" t="inlineStr">
        <x:is>
          <x:t xml:space="preserve">NOT_AVAILABLE</x:t>
        </x:is>
      </x:c>
      <x:c r="E413" s="5"/>
      <x:c r="F413" s="4">
        <x:v>0</x:v>
      </x:c>
      <x:c r="G413" s="4">
        <x:v>16313</x:v>
      </x:c>
      <x:c r="H413" s="6">
        <x:v>54.48</x:v>
      </x:c>
      <x:c r="I413" s="16">
        <x:v>1</x:v>
      </x:c>
      <x:c r="J413"/>
      <x:c r="K413" s="4"/>
      <x:c r="L413" s="4"/>
      <x:c r="M413" s="4"/>
      <x:c r="N413" s="5"/>
    </x:row>
    <x:row r="414" ht="24" customHeight="1">
      <x:c r="A414" s="1" t="inlineStr">
        <x:is>
          <x:t xml:space="preserve">RESULT</x:t>
        </x:is>
      </x:c>
      <x:c r="B414" s="1" t="inlineStr">
        <x:is>
          <x:t xml:space="preserve">Round1</x:t>
        </x:is>
      </x:c>
      <x:c r="C414" s="1" t="inlineStr">
        <x:is>
          <x:t xml:space="preserve">JacksonDatabind_18</x:t>
        </x:is>
      </x:c>
      <x:c r="D414" s="1" t="inlineStr">
        <x:is>
          <x:t xml:space="preserve">NOT_AVAILABLE</x:t>
        </x:is>
      </x:c>
      <x:c r="E414" s="5"/>
      <x:c r="F414" s="4">
        <x:v>0</x:v>
      </x:c>
      <x:c r="G414" s="4">
        <x:v>6669</x:v>
      </x:c>
      <x:c r="H414" s="6">
        <x:v>100.29</x:v>
      </x:c>
      <x:c r="I414" s="16">
        <x:v>1</x:v>
      </x:c>
      <x:c r="J414"/>
      <x:c r="K414" s="4"/>
      <x:c r="L414" s="4"/>
      <x:c r="M414" s="4"/>
      <x:c r="N414" s="5"/>
    </x:row>
    <x:row r="415" ht="24" customHeight="1">
      <x:c r="A415" s="1" t="inlineStr">
        <x:is>
          <x:t xml:space="preserve">RESULT</x:t>
        </x:is>
      </x:c>
      <x:c r="B415" s="1" t="inlineStr">
        <x:is>
          <x:t xml:space="preserve">Round1</x:t>
        </x:is>
      </x:c>
      <x:c r="C415" s="1" t="inlineStr">
        <x:is>
          <x:t xml:space="preserve">JacksonDatabind_19</x:t>
        </x:is>
      </x:c>
      <x:c r="D415" s="1" t="inlineStr">
        <x:is>
          <x:t xml:space="preserve">NOT_AVAILABLE</x:t>
        </x:is>
      </x:c>
      <x:c r="E415" s="5"/>
      <x:c r="F415" s="4">
        <x:v>0</x:v>
      </x:c>
      <x:c r="G415" s="4">
        <x:v>9702</x:v>
      </x:c>
      <x:c r="H415" s="6">
        <x:v>82.92</x:v>
      </x:c>
      <x:c r="I415" s="16">
        <x:v>1</x:v>
      </x:c>
      <x:c r="J415"/>
      <x:c r="K415" s="4"/>
      <x:c r="L415" s="4"/>
      <x:c r="M415" s="4"/>
      <x:c r="N415" s="5"/>
    </x:row>
    <x:row r="416" ht="24" customHeight="1">
      <x:c r="A416" s="1" t="inlineStr">
        <x:is>
          <x:t xml:space="preserve">RESULT</x:t>
        </x:is>
      </x:c>
      <x:c r="B416" s="1" t="inlineStr">
        <x:is>
          <x:t xml:space="preserve">Round1</x:t>
        </x:is>
      </x:c>
      <x:c r="C416" s="1" t="inlineStr">
        <x:is>
          <x:t xml:space="preserve">JacksonDatabind_2</x:t>
        </x:is>
      </x:c>
      <x:c r="D416" s="1" t="inlineStr">
        <x:is>
          <x:t xml:space="preserve">NOT_AVAILABLE</x:t>
        </x:is>
      </x:c>
      <x:c r="E416" s="5"/>
      <x:c r="F416" s="4">
        <x:v>0</x:v>
      </x:c>
      <x:c r="G416" s="4">
        <x:v>14964</x:v>
      </x:c>
      <x:c r="H416" s="6">
        <x:v>189.47</x:v>
      </x:c>
      <x:c r="I416" s="16">
        <x:v>1</x:v>
      </x:c>
      <x:c r="J416"/>
      <x:c r="K416" s="4"/>
      <x:c r="L416" s="4"/>
      <x:c r="M416" s="4"/>
      <x:c r="N416" s="5"/>
    </x:row>
    <x:row r="417" ht="24" customHeight="1">
      <x:c r="A417" s="1" t="inlineStr">
        <x:is>
          <x:t xml:space="preserve">RESULT</x:t>
        </x:is>
      </x:c>
      <x:c r="B417" s="1" t="inlineStr">
        <x:is>
          <x:t xml:space="preserve">Round1</x:t>
        </x:is>
      </x:c>
      <x:c r="C417" s="1" t="inlineStr">
        <x:is>
          <x:t xml:space="preserve">JacksonDatabind_20</x:t>
        </x:is>
      </x:c>
      <x:c r="D417" s="1" t="inlineStr">
        <x:is>
          <x:t xml:space="preserve">NOT_AVAILABLE</x:t>
        </x:is>
      </x:c>
      <x:c r="E417" s="5"/>
      <x:c r="F417" s="4">
        <x:v>0</x:v>
      </x:c>
      <x:c r="G417" s="4">
        <x:v>12140</x:v>
      </x:c>
      <x:c r="H417" s="6">
        <x:v>168.54</x:v>
      </x:c>
      <x:c r="I417" s="16">
        <x:v>1</x:v>
      </x:c>
      <x:c r="J417"/>
      <x:c r="K417" s="4"/>
      <x:c r="L417" s="4"/>
      <x:c r="M417" s="4"/>
      <x:c r="N417" s="5"/>
    </x:row>
    <x:row r="418" ht="24" customHeight="1">
      <x:c r="A418" s="1" t="inlineStr">
        <x:is>
          <x:t xml:space="preserve">RESULT</x:t>
        </x:is>
      </x:c>
      <x:c r="B418" s="1" t="inlineStr">
        <x:is>
          <x:t xml:space="preserve">Round1</x:t>
        </x:is>
      </x:c>
      <x:c r="C418" s="1" t="inlineStr">
        <x:is>
          <x:t xml:space="preserve">JacksonDatabind_21</x:t>
        </x:is>
      </x:c>
      <x:c r="D418" s="1" t="inlineStr">
        <x:is>
          <x:t xml:space="preserve">NOT_AVAILABLE</x:t>
        </x:is>
      </x:c>
      <x:c r="E418" s="5"/>
      <x:c r="F418" s="4">
        <x:v>0</x:v>
      </x:c>
      <x:c r="G418" s="4">
        <x:v>10493</x:v>
      </x:c>
      <x:c r="H418" s="6">
        <x:v>147.72</x:v>
      </x:c>
      <x:c r="I418" s="16">
        <x:v>1</x:v>
      </x:c>
      <x:c r="J418"/>
      <x:c r="K418" s="4"/>
      <x:c r="L418" s="4"/>
      <x:c r="M418" s="4"/>
      <x:c r="N418" s="5"/>
    </x:row>
    <x:row r="419" ht="24" customHeight="1">
      <x:c r="A419" s="1" t="inlineStr">
        <x:is>
          <x:t xml:space="preserve">RESULT</x:t>
        </x:is>
      </x:c>
      <x:c r="B419" s="1" t="inlineStr">
        <x:is>
          <x:t xml:space="preserve">Round1</x:t>
        </x:is>
      </x:c>
      <x:c r="C419" s="1" t="inlineStr">
        <x:is>
          <x:t xml:space="preserve">JacksonDatabind_22</x:t>
        </x:is>
      </x:c>
      <x:c r="D419" s="1" t="inlineStr">
        <x:is>
          <x:t xml:space="preserve">NOT_AVAILABLE</x:t>
        </x:is>
      </x:c>
      <x:c r="E419" s="5"/>
      <x:c r="F419" s="4">
        <x:v>0</x:v>
      </x:c>
      <x:c r="G419" s="4">
        <x:v>17859</x:v>
      </x:c>
      <x:c r="H419" s="6">
        <x:v>163.44</x:v>
      </x:c>
      <x:c r="I419" s="16">
        <x:v>1</x:v>
      </x:c>
      <x:c r="J419"/>
      <x:c r="K419" s="4"/>
      <x:c r="L419" s="4"/>
      <x:c r="M419" s="4"/>
      <x:c r="N419" s="5"/>
    </x:row>
    <x:row r="420" ht="24" customHeight="1">
      <x:c r="A420" s="1" t="inlineStr">
        <x:is>
          <x:t xml:space="preserve">RESULT</x:t>
        </x:is>
      </x:c>
      <x:c r="B420" s="1" t="inlineStr">
        <x:is>
          <x:t xml:space="preserve">Round1</x:t>
        </x:is>
      </x:c>
      <x:c r="C420" s="1" t="inlineStr">
        <x:is>
          <x:t xml:space="preserve">JacksonDatabind_23</x:t>
        </x:is>
      </x:c>
      <x:c r="D420" s="1" t="inlineStr">
        <x:is>
          <x:t xml:space="preserve">NOT_AVAILABLE</x:t>
        </x:is>
      </x:c>
      <x:c r="E420" s="5"/>
      <x:c r="F420" s="4">
        <x:v>0</x:v>
      </x:c>
      <x:c r="G420" s="4">
        <x:v>7190</x:v>
      </x:c>
      <x:c r="H420" s="6">
        <x:v>130.75</x:v>
      </x:c>
      <x:c r="I420" s="16">
        <x:v>1</x:v>
      </x:c>
      <x:c r="J420"/>
      <x:c r="K420" s="4"/>
      <x:c r="L420" s="4"/>
      <x:c r="M420" s="4"/>
      <x:c r="N420" s="5"/>
    </x:row>
    <x:row r="421" ht="24" customHeight="1">
      <x:c r="A421" s="1" t="inlineStr">
        <x:is>
          <x:t xml:space="preserve">RESULT</x:t>
        </x:is>
      </x:c>
      <x:c r="B421" s="1" t="inlineStr">
        <x:is>
          <x:t xml:space="preserve">Round1</x:t>
        </x:is>
      </x:c>
      <x:c r="C421" s="1" t="inlineStr">
        <x:is>
          <x:t xml:space="preserve">JacksonDatabind_24</x:t>
        </x:is>
      </x:c>
      <x:c r="D421" s="1" t="inlineStr">
        <x:is>
          <x:t xml:space="preserve">NOT_AVAILABLE</x:t>
        </x:is>
      </x:c>
      <x:c r="E421" s="5"/>
      <x:c r="F421" s="4">
        <x:v>0</x:v>
      </x:c>
      <x:c r="G421" s="4">
        <x:v>8084</x:v>
      </x:c>
      <x:c r="H421" s="6">
        <x:v>123.84</x:v>
      </x:c>
      <x:c r="I421" s="16">
        <x:v>1</x:v>
      </x:c>
      <x:c r="J421"/>
      <x:c r="K421" s="4"/>
      <x:c r="L421" s="4"/>
      <x:c r="M421" s="4"/>
      <x:c r="N421" s="5"/>
    </x:row>
    <x:row r="422" ht="24" customHeight="1">
      <x:c r="A422" s="1" t="inlineStr">
        <x:is>
          <x:t xml:space="preserve">RESULT</x:t>
        </x:is>
      </x:c>
      <x:c r="B422" s="1" t="inlineStr">
        <x:is>
          <x:t xml:space="preserve">Round1</x:t>
        </x:is>
      </x:c>
      <x:c r="C422" s="1" t="inlineStr">
        <x:is>
          <x:t xml:space="preserve">JacksonDatabind_25</x:t>
        </x:is>
      </x:c>
      <x:c r="D422" s="1" t="inlineStr">
        <x:is>
          <x:t xml:space="preserve">NOT_AVAILABLE</x:t>
        </x:is>
      </x:c>
      <x:c r="E422" s="5"/>
      <x:c r="F422" s="4">
        <x:v>0</x:v>
      </x:c>
      <x:c r="G422" s="4">
        <x:v>37860</x:v>
      </x:c>
      <x:c r="H422" s="6">
        <x:v>408.56</x:v>
      </x:c>
      <x:c r="I422" s="16">
        <x:v>1</x:v>
      </x:c>
      <x:c r="J422"/>
      <x:c r="K422" s="4"/>
      <x:c r="L422" s="4"/>
      <x:c r="M422" s="4"/>
      <x:c r="N422" s="5"/>
    </x:row>
    <x:row r="423" ht="24" customHeight="1">
      <x:c r="A423" s="1" t="inlineStr">
        <x:is>
          <x:t xml:space="preserve">RESULT</x:t>
        </x:is>
      </x:c>
      <x:c r="B423" s="1" t="inlineStr">
        <x:is>
          <x:t xml:space="preserve">Round1</x:t>
        </x:is>
      </x:c>
      <x:c r="C423" s="1" t="inlineStr">
        <x:is>
          <x:t xml:space="preserve">JacksonDatabind_26</x:t>
        </x:is>
      </x:c>
      <x:c r="D423" s="1" t="inlineStr">
        <x:is>
          <x:t xml:space="preserve">NOT_AVAILABLE</x:t>
        </x:is>
      </x:c>
      <x:c r="E423" s="5"/>
      <x:c r="F423" s="4">
        <x:v>0</x:v>
      </x:c>
      <x:c r="G423" s="4">
        <x:v>9988</x:v>
      </x:c>
      <x:c r="H423" s="6">
        <x:v>146.59</x:v>
      </x:c>
      <x:c r="I423" s="16">
        <x:v>1</x:v>
      </x:c>
      <x:c r="J423"/>
      <x:c r="K423" s="4"/>
      <x:c r="L423" s="4"/>
      <x:c r="M423" s="4"/>
      <x:c r="N423" s="5"/>
    </x:row>
    <x:row r="424" ht="24" customHeight="1">
      <x:c r="A424" s="1" t="inlineStr">
        <x:is>
          <x:t xml:space="preserve">RESULT</x:t>
        </x:is>
      </x:c>
      <x:c r="B424" s="1" t="inlineStr">
        <x:is>
          <x:t xml:space="preserve">Round1</x:t>
        </x:is>
      </x:c>
      <x:c r="C424" s="1" t="inlineStr">
        <x:is>
          <x:t xml:space="preserve">JacksonDatabind_27</x:t>
        </x:is>
      </x:c>
      <x:c r="D424" s="1" t="inlineStr">
        <x:is>
          <x:t xml:space="preserve">NOT_AVAILABLE</x:t>
        </x:is>
      </x:c>
      <x:c r="E424" s="5"/>
      <x:c r="F424" s="4">
        <x:v>0</x:v>
      </x:c>
      <x:c r="G424" s="4">
        <x:v>8089</x:v>
      </x:c>
      <x:c r="H424" s="6">
        <x:v>47.52</x:v>
      </x:c>
      <x:c r="I424" s="16">
        <x:v>1</x:v>
      </x:c>
      <x:c r="J424"/>
      <x:c r="K424" s="4"/>
      <x:c r="L424" s="4"/>
      <x:c r="M424" s="4"/>
      <x:c r="N424" s="5"/>
    </x:row>
    <x:row r="425" ht="24" customHeight="1">
      <x:c r="A425" s="1" t="inlineStr">
        <x:is>
          <x:t xml:space="preserve">RESULT</x:t>
        </x:is>
      </x:c>
      <x:c r="B425" s="1" t="inlineStr">
        <x:is>
          <x:t xml:space="preserve">Round1</x:t>
        </x:is>
      </x:c>
      <x:c r="C425" s="1" t="inlineStr">
        <x:is>
          <x:t xml:space="preserve">JacksonDatabind_28</x:t>
        </x:is>
      </x:c>
      <x:c r="D425" s="1" t="inlineStr">
        <x:is>
          <x:t xml:space="preserve">NOT_AVAILABLE</x:t>
        </x:is>
      </x:c>
      <x:c r="E425" s="5"/>
      <x:c r="F425" s="4">
        <x:v>0</x:v>
      </x:c>
      <x:c r="G425" s="4">
        <x:v>6659</x:v>
      </x:c>
      <x:c r="H425" s="6">
        <x:v>65.07</x:v>
      </x:c>
      <x:c r="I425" s="16">
        <x:v>1</x:v>
      </x:c>
      <x:c r="J425"/>
      <x:c r="K425" s="4"/>
      <x:c r="L425" s="4"/>
      <x:c r="M425" s="4"/>
      <x:c r="N425" s="5"/>
    </x:row>
    <x:row r="426" ht="24" customHeight="1">
      <x:c r="A426" s="1" t="inlineStr">
        <x:is>
          <x:t xml:space="preserve">RESULT</x:t>
        </x:is>
      </x:c>
      <x:c r="B426" s="1" t="inlineStr">
        <x:is>
          <x:t xml:space="preserve">Round1</x:t>
        </x:is>
      </x:c>
      <x:c r="C426" s="1" t="inlineStr">
        <x:is>
          <x:t xml:space="preserve">JacksonDatabind_29</x:t>
        </x:is>
      </x:c>
      <x:c r="D426" s="1" t="inlineStr">
        <x:is>
          <x:t xml:space="preserve">NOT_AVAILABLE</x:t>
        </x:is>
      </x:c>
      <x:c r="E426" s="5"/>
      <x:c r="F426" s="4">
        <x:v>0</x:v>
      </x:c>
      <x:c r="G426" s="4">
        <x:v>6560</x:v>
      </x:c>
      <x:c r="H426" s="6">
        <x:v>76.1</x:v>
      </x:c>
      <x:c r="I426" s="16">
        <x:v>1</x:v>
      </x:c>
      <x:c r="J426"/>
      <x:c r="K426" s="4"/>
      <x:c r="L426" s="4"/>
      <x:c r="M426" s="4"/>
      <x:c r="N426" s="5"/>
    </x:row>
    <x:row r="427" ht="24" customHeight="1">
      <x:c r="A427" s="1" t="inlineStr">
        <x:is>
          <x:t xml:space="preserve">RESULT</x:t>
        </x:is>
      </x:c>
      <x:c r="B427" s="1" t="inlineStr">
        <x:is>
          <x:t xml:space="preserve">Round1</x:t>
        </x:is>
      </x:c>
      <x:c r="C427" s="1" t="inlineStr">
        <x:is>
          <x:t xml:space="preserve">JacksonDatabind_3</x:t>
        </x:is>
      </x:c>
      <x:c r="D427" s="1" t="inlineStr">
        <x:is>
          <x:t xml:space="preserve">NOT_AVAILABLE</x:t>
        </x:is>
      </x:c>
      <x:c r="E427" s="5"/>
      <x:c r="F427" s="4">
        <x:v>0</x:v>
      </x:c>
      <x:c r="G427" s="4">
        <x:v>5271</x:v>
      </x:c>
      <x:c r="H427" s="6">
        <x:v>84.94</x:v>
      </x:c>
      <x:c r="I427" s="16">
        <x:v>1</x:v>
      </x:c>
      <x:c r="J427"/>
      <x:c r="K427" s="4"/>
      <x:c r="L427" s="4"/>
      <x:c r="M427" s="4"/>
      <x:c r="N427" s="5"/>
    </x:row>
    <x:row r="428" ht="24" customHeight="1">
      <x:c r="A428" s="1" t="inlineStr">
        <x:is>
          <x:t xml:space="preserve">RESULT</x:t>
        </x:is>
      </x:c>
      <x:c r="B428" s="1" t="inlineStr">
        <x:is>
          <x:t xml:space="preserve">Round1</x:t>
        </x:is>
      </x:c>
      <x:c r="C428" s="1" t="inlineStr">
        <x:is>
          <x:t xml:space="preserve">JacksonDatabind_30</x:t>
        </x:is>
      </x:c>
      <x:c r="D428" s="1" t="inlineStr">
        <x:is>
          <x:t xml:space="preserve">NOT_AVAILABLE</x:t>
        </x:is>
      </x:c>
      <x:c r="E428" s="5"/>
      <x:c r="F428" s="4">
        <x:v>0</x:v>
      </x:c>
      <x:c r="G428" s="4">
        <x:v>33823</x:v>
      </x:c>
      <x:c r="H428" s="6">
        <x:v>259.17</x:v>
      </x:c>
      <x:c r="I428" s="16">
        <x:v>1</x:v>
      </x:c>
      <x:c r="J428"/>
      <x:c r="K428" s="4"/>
      <x:c r="L428" s="4"/>
      <x:c r="M428" s="4"/>
      <x:c r="N428" s="5"/>
    </x:row>
    <x:row r="429" ht="24" customHeight="1">
      <x:c r="A429" s="1" t="inlineStr">
        <x:is>
          <x:t xml:space="preserve">RESULT</x:t>
        </x:is>
      </x:c>
      <x:c r="B429" s="1" t="inlineStr">
        <x:is>
          <x:t xml:space="preserve">Round1</x:t>
        </x:is>
      </x:c>
      <x:c r="C429" s="1" t="inlineStr">
        <x:is>
          <x:t xml:space="preserve">JacksonDatabind_31</x:t>
        </x:is>
      </x:c>
      <x:c r="D429" s="1" t="inlineStr">
        <x:is>
          <x:t xml:space="preserve">NOT_AVAILABLE</x:t>
        </x:is>
      </x:c>
      <x:c r="E429" s="5"/>
      <x:c r="F429" s="4">
        <x:v>0</x:v>
      </x:c>
      <x:c r="G429" s="4">
        <x:v>13619</x:v>
      </x:c>
      <x:c r="H429" s="6">
        <x:v>109.49</x:v>
      </x:c>
      <x:c r="I429" s="16">
        <x:v>1</x:v>
      </x:c>
      <x:c r="J429"/>
      <x:c r="K429" s="4"/>
      <x:c r="L429" s="4"/>
      <x:c r="M429" s="4"/>
      <x:c r="N429" s="5"/>
    </x:row>
    <x:row r="430" ht="24" customHeight="1">
      <x:c r="A430" s="1" t="inlineStr">
        <x:is>
          <x:t xml:space="preserve">RESULT</x:t>
        </x:is>
      </x:c>
      <x:c r="B430" s="1" t="inlineStr">
        <x:is>
          <x:t xml:space="preserve">Round1</x:t>
        </x:is>
      </x:c>
      <x:c r="C430" s="1" t="inlineStr">
        <x:is>
          <x:t xml:space="preserve">JacksonDatabind_32</x:t>
        </x:is>
      </x:c>
      <x:c r="D430" s="1" t="inlineStr">
        <x:is>
          <x:t xml:space="preserve">NOT_AVAILABLE</x:t>
        </x:is>
      </x:c>
      <x:c r="E430" s="5"/>
      <x:c r="F430" s="4">
        <x:v>0</x:v>
      </x:c>
      <x:c r="G430" s="4">
        <x:v>11233</x:v>
      </x:c>
      <x:c r="H430" s="6">
        <x:v>170.46</x:v>
      </x:c>
      <x:c r="I430" s="16">
        <x:v>1</x:v>
      </x:c>
      <x:c r="J430"/>
      <x:c r="K430" s="4"/>
      <x:c r="L430" s="4"/>
      <x:c r="M430" s="4"/>
      <x:c r="N430" s="5"/>
    </x:row>
    <x:row r="431" ht="24" customHeight="1">
      <x:c r="A431" s="1" t="inlineStr">
        <x:is>
          <x:t xml:space="preserve">RESULT</x:t>
        </x:is>
      </x:c>
      <x:c r="B431" s="1" t="inlineStr">
        <x:is>
          <x:t xml:space="preserve">Round1</x:t>
        </x:is>
      </x:c>
      <x:c r="C431" s="1" t="inlineStr">
        <x:is>
          <x:t xml:space="preserve">JacksonDatabind_33</x:t>
        </x:is>
      </x:c>
      <x:c r="D431" s="1" t="inlineStr">
        <x:is>
          <x:t xml:space="preserve">NOT_AVAILABLE</x:t>
        </x:is>
      </x:c>
      <x:c r="E431" s="5"/>
      <x:c r="F431" s="4">
        <x:v>0</x:v>
      </x:c>
      <x:c r="G431" s="4">
        <x:v>16883</x:v>
      </x:c>
      <x:c r="H431" s="6">
        <x:v>272.81</x:v>
      </x:c>
      <x:c r="I431" s="16">
        <x:v>1</x:v>
      </x:c>
      <x:c r="J431"/>
      <x:c r="K431" s="4"/>
      <x:c r="L431" s="4"/>
      <x:c r="M431" s="4"/>
      <x:c r="N431" s="5"/>
    </x:row>
    <x:row r="432" ht="24" customHeight="1">
      <x:c r="A432" s="1" t="inlineStr">
        <x:is>
          <x:t xml:space="preserve">RESULT</x:t>
        </x:is>
      </x:c>
      <x:c r="B432" s="1" t="inlineStr">
        <x:is>
          <x:t xml:space="preserve">Round1</x:t>
        </x:is>
      </x:c>
      <x:c r="C432" s="1" t="inlineStr">
        <x:is>
          <x:t xml:space="preserve">JacksonDatabind_34</x:t>
        </x:is>
      </x:c>
      <x:c r="D432" s="1" t="inlineStr">
        <x:is>
          <x:t xml:space="preserve">NOT_AVAILABLE</x:t>
        </x:is>
      </x:c>
      <x:c r="E432" s="5"/>
      <x:c r="F432" s="4">
        <x:v>0</x:v>
      </x:c>
      <x:c r="G432" s="4">
        <x:v>4315</x:v>
      </x:c>
      <x:c r="H432" s="6">
        <x:v>75.94</x:v>
      </x:c>
      <x:c r="I432" s="16">
        <x:v>1</x:v>
      </x:c>
      <x:c r="J432"/>
      <x:c r="K432" s="4"/>
      <x:c r="L432" s="4"/>
      <x:c r="M432" s="4"/>
      <x:c r="N432" s="5"/>
    </x:row>
    <x:row r="433" ht="24" customHeight="1">
      <x:c r="A433" s="1" t="inlineStr">
        <x:is>
          <x:t xml:space="preserve">RESULT</x:t>
        </x:is>
      </x:c>
      <x:c r="B433" s="1" t="inlineStr">
        <x:is>
          <x:t xml:space="preserve">Round1</x:t>
        </x:is>
      </x:c>
      <x:c r="C433" s="1" t="inlineStr">
        <x:is>
          <x:t xml:space="preserve">JacksonDatabind_35</x:t>
        </x:is>
      </x:c>
      <x:c r="D433" s="1" t="inlineStr">
        <x:is>
          <x:t xml:space="preserve">NOT_AVAILABLE</x:t>
        </x:is>
      </x:c>
      <x:c r="E433" s="5"/>
      <x:c r="F433" s="4">
        <x:v>0</x:v>
      </x:c>
      <x:c r="G433" s="4">
        <x:v>4280</x:v>
      </x:c>
      <x:c r="H433" s="6">
        <x:v>65.12</x:v>
      </x:c>
      <x:c r="I433" s="16">
        <x:v>1</x:v>
      </x:c>
      <x:c r="J433"/>
      <x:c r="K433" s="4"/>
      <x:c r="L433" s="4"/>
      <x:c r="M433" s="4"/>
      <x:c r="N433" s="5"/>
    </x:row>
    <x:row r="434" ht="24" customHeight="1">
      <x:c r="A434" s="1" t="inlineStr">
        <x:is>
          <x:t xml:space="preserve">RESULT</x:t>
        </x:is>
      </x:c>
      <x:c r="B434" s="1" t="inlineStr">
        <x:is>
          <x:t xml:space="preserve">Round1</x:t>
        </x:is>
      </x:c>
      <x:c r="C434" s="1" t="inlineStr">
        <x:is>
          <x:t xml:space="preserve">JacksonDatabind_36</x:t>
        </x:is>
      </x:c>
      <x:c r="D434" s="1" t="inlineStr">
        <x:is>
          <x:t xml:space="preserve">INCONCLUSIVE</x:t>
        </x:is>
      </x:c>
      <x:c r="E434" s="5">
        <x:v>0.8445999999999999</x:v>
      </x:c>
      <x:c r="F434" s="4">
        <x:v>0</x:v>
      </x:c>
      <x:c r="G434" s="4">
        <x:v>9151</x:v>
      </x:c>
      <x:c r="H434" s="6">
        <x:v>104.11</x:v>
      </x:c>
      <x:c r="I434" s="16">
        <x:v>1</x:v>
      </x:c>
      <x:c r="J434">
        <x:v>193</x:v>
      </x:c>
      <x:c r="K434" s="4">
        <x:v>163</x:v>
      </x:c>
      <x:c r="L434" s="4">
        <x:v>130</x:v>
      </x:c>
      <x:c r="M434" s="4">
        <x:v>92</x:v>
      </x:c>
      <x:c r="N434" s="5">
        <x:v>0.7077</x:v>
      </x:c>
    </x:row>
    <x:row r="435" ht="24" customHeight="1">
      <x:c r="A435" s="1" t="inlineStr">
        <x:is>
          <x:t xml:space="preserve">RESULT</x:t>
        </x:is>
      </x:c>
      <x:c r="B435" s="1" t="inlineStr">
        <x:is>
          <x:t xml:space="preserve">Round1</x:t>
        </x:is>
      </x:c>
      <x:c r="C435" s="1" t="inlineStr">
        <x:is>
          <x:t xml:space="preserve">JacksonDatabind_37</x:t>
        </x:is>
      </x:c>
      <x:c r="D435" s="1" t="inlineStr">
        <x:is>
          <x:t xml:space="preserve">NOT_AVAILABLE</x:t>
        </x:is>
      </x:c>
      <x:c r="E435" s="5"/>
      <x:c r="F435" s="4">
        <x:v>0</x:v>
      </x:c>
      <x:c r="G435" s="4">
        <x:v>5842</x:v>
      </x:c>
      <x:c r="H435" s="6">
        <x:v>32.17</x:v>
      </x:c>
      <x:c r="I435" s="16">
        <x:v>1</x:v>
      </x:c>
      <x:c r="J435"/>
      <x:c r="K435" s="4"/>
      <x:c r="L435" s="4"/>
      <x:c r="M435" s="4"/>
      <x:c r="N435" s="5"/>
    </x:row>
    <x:row r="436" ht="24" customHeight="1">
      <x:c r="A436" s="1" t="inlineStr">
        <x:is>
          <x:t xml:space="preserve">RESULT</x:t>
        </x:is>
      </x:c>
      <x:c r="B436" s="1" t="inlineStr">
        <x:is>
          <x:t xml:space="preserve">Round1</x:t>
        </x:is>
      </x:c>
      <x:c r="C436" s="1" t="inlineStr">
        <x:is>
          <x:t xml:space="preserve">JacksonDatabind_38</x:t>
        </x:is>
      </x:c>
      <x:c r="D436" s="1" t="inlineStr">
        <x:is>
          <x:t xml:space="preserve">NOT_AVAILABLE</x:t>
        </x:is>
      </x:c>
      <x:c r="E436" s="5"/>
      <x:c r="F436" s="4">
        <x:v>0</x:v>
      </x:c>
      <x:c r="G436" s="4">
        <x:v>12747</x:v>
      </x:c>
      <x:c r="H436" s="6">
        <x:v>151.14</x:v>
      </x:c>
      <x:c r="I436" s="16">
        <x:v>1</x:v>
      </x:c>
      <x:c r="J436"/>
      <x:c r="K436" s="4"/>
      <x:c r="L436" s="4"/>
      <x:c r="M436" s="4"/>
      <x:c r="N436" s="5"/>
    </x:row>
    <x:row r="437" ht="24" customHeight="1">
      <x:c r="A437" s="1" t="inlineStr">
        <x:is>
          <x:t xml:space="preserve">RESULT</x:t>
        </x:is>
      </x:c>
      <x:c r="B437" s="1" t="inlineStr">
        <x:is>
          <x:t xml:space="preserve">Round1</x:t>
        </x:is>
      </x:c>
      <x:c r="C437" s="1" t="inlineStr">
        <x:is>
          <x:t xml:space="preserve">JacksonDatabind_39</x:t>
        </x:is>
      </x:c>
      <x:c r="D437" s="1" t="inlineStr">
        <x:is>
          <x:t xml:space="preserve">INCONCLUSIVE</x:t>
        </x:is>
      </x:c>
      <x:c r="E437" s="5">
        <x:v>1.0</x:v>
      </x:c>
      <x:c r="F437" s="4">
        <x:v>0</x:v>
      </x:c>
      <x:c r="G437" s="4">
        <x:v>3013</x:v>
      </x:c>
      <x:c r="H437" s="6">
        <x:v>43.97</x:v>
      </x:c>
      <x:c r="I437" s="16">
        <x:v>1</x:v>
      </x:c>
      <x:c r="J437">
        <x:v>7</x:v>
      </x:c>
      <x:c r="K437" s="4">
        <x:v>7</x:v>
      </x:c>
      <x:c r="L437" s="4">
        <x:v>2</x:v>
      </x:c>
      <x:c r="M437" s="4">
        <x:v>2</x:v>
      </x:c>
      <x:c r="N437" s="5">
        <x:v>1.0</x:v>
      </x:c>
    </x:row>
    <x:row r="438" ht="24" customHeight="1">
      <x:c r="A438" s="1" t="inlineStr">
        <x:is>
          <x:t xml:space="preserve">RESULT</x:t>
        </x:is>
      </x:c>
      <x:c r="B438" s="1" t="inlineStr">
        <x:is>
          <x:t xml:space="preserve">Round1</x:t>
        </x:is>
      </x:c>
      <x:c r="C438" s="1" t="inlineStr">
        <x:is>
          <x:t xml:space="preserve">JacksonDatabind_4</x:t>
        </x:is>
      </x:c>
      <x:c r="D438" s="1" t="inlineStr">
        <x:is>
          <x:t xml:space="preserve">NOT_AVAILABLE</x:t>
        </x:is>
      </x:c>
      <x:c r="E438" s="5"/>
      <x:c r="F438" s="4">
        <x:v>0</x:v>
      </x:c>
      <x:c r="G438" s="4">
        <x:v>5694</x:v>
      </x:c>
      <x:c r="H438" s="6">
        <x:v>94.2</x:v>
      </x:c>
      <x:c r="I438" s="16">
        <x:v>1</x:v>
      </x:c>
      <x:c r="J438"/>
      <x:c r="K438" s="4"/>
      <x:c r="L438" s="4"/>
      <x:c r="M438" s="4"/>
      <x:c r="N438" s="5"/>
    </x:row>
    <x:row r="439" ht="24" customHeight="1">
      <x:c r="A439" s="1" t="inlineStr">
        <x:is>
          <x:t xml:space="preserve">RESULT</x:t>
        </x:is>
      </x:c>
      <x:c r="B439" s="1" t="inlineStr">
        <x:is>
          <x:t xml:space="preserve">Round1</x:t>
        </x:is>
      </x:c>
      <x:c r="C439" s="1" t="inlineStr">
        <x:is>
          <x:t xml:space="preserve">JacksonDatabind_40</x:t>
        </x:is>
      </x:c>
      <x:c r="D439" s="1" t="inlineStr">
        <x:is>
          <x:t xml:space="preserve">INCONCLUSIVE</x:t>
        </x:is>
      </x:c>
      <x:c r="E439" s="5">
        <x:v>0.6804000000000001</x:v>
      </x:c>
      <x:c r="F439" s="4">
        <x:v>0</x:v>
      </x:c>
      <x:c r="G439" s="4">
        <x:v>11395</x:v>
      </x:c>
      <x:c r="H439" s="6">
        <x:v>181.56</x:v>
      </x:c>
      <x:c r="I439" s="16">
        <x:v>1</x:v>
      </x:c>
      <x:c r="J439">
        <x:v>219</x:v>
      </x:c>
      <x:c r="K439" s="4">
        <x:v>149</x:v>
      </x:c>
      <x:c r="L439" s="4">
        <x:v>130</x:v>
      </x:c>
      <x:c r="M439" s="4">
        <x:v>83</x:v>
      </x:c>
      <x:c r="N439" s="5">
        <x:v>0.6385000000000001</x:v>
      </x:c>
    </x:row>
    <x:row r="440" ht="24" customHeight="1">
      <x:c r="A440" s="1" t="inlineStr">
        <x:is>
          <x:t xml:space="preserve">RESULT</x:t>
        </x:is>
      </x:c>
      <x:c r="B440" s="1" t="inlineStr">
        <x:is>
          <x:t xml:space="preserve">Round1</x:t>
        </x:is>
      </x:c>
      <x:c r="C440" s="1" t="inlineStr">
        <x:is>
          <x:t xml:space="preserve">JacksonDatabind_41</x:t>
        </x:is>
      </x:c>
      <x:c r="D440" s="1" t="inlineStr">
        <x:is>
          <x:t xml:space="preserve">NOT_AVAILABLE</x:t>
        </x:is>
      </x:c>
      <x:c r="E440" s="5"/>
      <x:c r="F440" s="4">
        <x:v>0</x:v>
      </x:c>
      <x:c r="G440" s="4">
        <x:v>11613</x:v>
      </x:c>
      <x:c r="H440" s="6">
        <x:v>131.42</x:v>
      </x:c>
      <x:c r="I440" s="16">
        <x:v>1</x:v>
      </x:c>
      <x:c r="J440"/>
      <x:c r="K440" s="4"/>
      <x:c r="L440" s="4"/>
      <x:c r="M440" s="4"/>
      <x:c r="N440" s="5"/>
    </x:row>
    <x:row r="441" ht="24" customHeight="1">
      <x:c r="A441" s="1" t="inlineStr">
        <x:is>
          <x:t xml:space="preserve">RESULT</x:t>
        </x:is>
      </x:c>
      <x:c r="B441" s="1" t="inlineStr">
        <x:is>
          <x:t xml:space="preserve">Round1</x:t>
        </x:is>
      </x:c>
      <x:c r="C441" s="1" t="inlineStr">
        <x:is>
          <x:t xml:space="preserve">JacksonDatabind_42</x:t>
        </x:is>
      </x:c>
      <x:c r="D441" s="1" t="inlineStr">
        <x:is>
          <x:t xml:space="preserve">NOT_AVAILABLE</x:t>
        </x:is>
      </x:c>
      <x:c r="E441" s="5"/>
      <x:c r="F441" s="4">
        <x:v>0</x:v>
      </x:c>
      <x:c r="G441" s="4">
        <x:v>12594</x:v>
      </x:c>
      <x:c r="H441" s="6">
        <x:v>293.13</x:v>
      </x:c>
      <x:c r="I441" s="16">
        <x:v>1</x:v>
      </x:c>
      <x:c r="J441"/>
      <x:c r="K441" s="4"/>
      <x:c r="L441" s="4"/>
      <x:c r="M441" s="4"/>
      <x:c r="N441" s="5"/>
    </x:row>
    <x:row r="442" ht="24" customHeight="1">
      <x:c r="A442" s="1" t="inlineStr">
        <x:is>
          <x:t xml:space="preserve">RESULT</x:t>
        </x:is>
      </x:c>
      <x:c r="B442" s="1" t="inlineStr">
        <x:is>
          <x:t xml:space="preserve">Round1</x:t>
        </x:is>
      </x:c>
      <x:c r="C442" s="1" t="inlineStr">
        <x:is>
          <x:t xml:space="preserve">JacksonDatabind_43</x:t>
        </x:is>
      </x:c>
      <x:c r="D442" s="1" t="inlineStr">
        <x:is>
          <x:t xml:space="preserve">NOT_AVAILABLE</x:t>
        </x:is>
      </x:c>
      <x:c r="E442" s="5"/>
      <x:c r="F442" s="4">
        <x:v>0</x:v>
      </x:c>
      <x:c r="G442" s="4">
        <x:v>4964</x:v>
      </x:c>
      <x:c r="H442" s="6">
        <x:v>89.63</x:v>
      </x:c>
      <x:c r="I442" s="16">
        <x:v>1</x:v>
      </x:c>
      <x:c r="J442"/>
      <x:c r="K442" s="4"/>
      <x:c r="L442" s="4"/>
      <x:c r="M442" s="4"/>
      <x:c r="N442" s="5"/>
    </x:row>
    <x:row r="443" ht="24" customHeight="1">
      <x:c r="A443" s="1" t="inlineStr">
        <x:is>
          <x:t xml:space="preserve">RESULT</x:t>
        </x:is>
      </x:c>
      <x:c r="B443" s="1" t="inlineStr">
        <x:is>
          <x:t xml:space="preserve">Round1</x:t>
        </x:is>
      </x:c>
      <x:c r="C443" s="1" t="inlineStr">
        <x:is>
          <x:t xml:space="preserve">JacksonDatabind_44</x:t>
        </x:is>
      </x:c>
      <x:c r="D443" s="1" t="inlineStr">
        <x:is>
          <x:t xml:space="preserve">NOT_REVEALING</x:t>
        </x:is>
      </x:c>
      <x:c r="E443" s="5">
        <x:v>0.8533</x:v>
      </x:c>
      <x:c r="F443" s="4">
        <x:v>0</x:v>
      </x:c>
      <x:c r="G443" s="4">
        <x:v>24160</x:v>
      </x:c>
      <x:c r="H443" s="6">
        <x:v>645.68</x:v>
      </x:c>
      <x:c r="I443" s="16">
        <x:v>1</x:v>
      </x:c>
      <x:c r="J443">
        <x:v>75</x:v>
      </x:c>
      <x:c r="K443" s="4">
        <x:v>64</x:v>
      </x:c>
      <x:c r="L443" s="4">
        <x:v>36</x:v>
      </x:c>
      <x:c r="M443" s="4">
        <x:v>32</x:v>
      </x:c>
      <x:c r="N443" s="5">
        <x:v>0.8889</x:v>
      </x:c>
    </x:row>
    <x:row r="444" ht="24" customHeight="1">
      <x:c r="A444" s="1" t="inlineStr">
        <x:is>
          <x:t xml:space="preserve">RESULT</x:t>
        </x:is>
      </x:c>
      <x:c r="B444" s="1" t="inlineStr">
        <x:is>
          <x:t xml:space="preserve">Round1</x:t>
        </x:is>
      </x:c>
      <x:c r="C444" s="1" t="inlineStr">
        <x:is>
          <x:t xml:space="preserve">JacksonDatabind_45</x:t>
        </x:is>
      </x:c>
      <x:c r="D444" s="1" t="inlineStr">
        <x:is>
          <x:t xml:space="preserve">NOT_AVAILABLE</x:t>
        </x:is>
      </x:c>
      <x:c r="E444" s="5"/>
      <x:c r="F444" s="4">
        <x:v>0</x:v>
      </x:c>
      <x:c r="G444" s="4">
        <x:v>18990</x:v>
      </x:c>
      <x:c r="H444" s="6">
        <x:v>506.16</x:v>
      </x:c>
      <x:c r="I444" s="16">
        <x:v>1</x:v>
      </x:c>
      <x:c r="J444"/>
      <x:c r="K444" s="4"/>
      <x:c r="L444" s="4"/>
      <x:c r="M444" s="4"/>
      <x:c r="N444" s="5"/>
    </x:row>
    <x:row r="445" ht="24" customHeight="1">
      <x:c r="A445" s="1" t="inlineStr">
        <x:is>
          <x:t xml:space="preserve">RESULT</x:t>
        </x:is>
      </x:c>
      <x:c r="B445" s="1" t="inlineStr">
        <x:is>
          <x:t xml:space="preserve">Round1</x:t>
        </x:is>
      </x:c>
      <x:c r="C445" s="1" t="inlineStr">
        <x:is>
          <x:t xml:space="preserve">JacksonDatabind_46</x:t>
        </x:is>
      </x:c>
      <x:c r="D445" s="1" t="inlineStr">
        <x:is>
          <x:t xml:space="preserve">NOT_AVAILABLE</x:t>
        </x:is>
      </x:c>
      <x:c r="E445" s="5"/>
      <x:c r="F445" s="4">
        <x:v>0</x:v>
      </x:c>
      <x:c r="G445" s="4">
        <x:v>22460</x:v>
      </x:c>
      <x:c r="H445" s="6">
        <x:v>710.83</x:v>
      </x:c>
      <x:c r="I445" s="16">
        <x:v>1</x:v>
      </x:c>
      <x:c r="J445"/>
      <x:c r="K445" s="4"/>
      <x:c r="L445" s="4"/>
      <x:c r="M445" s="4"/>
      <x:c r="N445" s="5"/>
    </x:row>
    <x:row r="446" ht="24" customHeight="1">
      <x:c r="A446" s="1" t="inlineStr">
        <x:is>
          <x:t xml:space="preserve">RESULT</x:t>
        </x:is>
      </x:c>
      <x:c r="B446" s="1" t="inlineStr">
        <x:is>
          <x:t xml:space="preserve">Round1</x:t>
        </x:is>
      </x:c>
      <x:c r="C446" s="1" t="inlineStr">
        <x:is>
          <x:t xml:space="preserve">JacksonDatabind_47</x:t>
        </x:is>
      </x:c>
      <x:c r="D446" s="1" t="inlineStr">
        <x:is>
          <x:t xml:space="preserve">INCONCLUSIVE</x:t>
        </x:is>
      </x:c>
      <x:c r="E446" s="5">
        <x:v>0.2905</x:v>
      </x:c>
      <x:c r="F446" s="4">
        <x:v>0</x:v>
      </x:c>
      <x:c r="G446" s="4">
        <x:v>31255</x:v>
      </x:c>
      <x:c r="H446" s="6">
        <x:v>979.93</x:v>
      </x:c>
      <x:c r="I446" s="16">
        <x:v>1</x:v>
      </x:c>
      <x:c r="J446">
        <x:v>179</x:v>
      </x:c>
      <x:c r="K446" s="4">
        <x:v>52</x:v>
      </x:c>
      <x:c r="L446" s="4">
        <x:v>44</x:v>
      </x:c>
      <x:c r="M446" s="4">
        <x:v>0</x:v>
      </x:c>
      <x:c r="N446" s="5">
        <x:v>0.0</x:v>
      </x:c>
    </x:row>
    <x:row r="447" ht="24" customHeight="1">
      <x:c r="A447" s="1" t="inlineStr">
        <x:is>
          <x:t xml:space="preserve">RESULT</x:t>
        </x:is>
      </x:c>
      <x:c r="B447" s="1" t="inlineStr">
        <x:is>
          <x:t xml:space="preserve">Round1</x:t>
        </x:is>
      </x:c>
      <x:c r="C447" s="1" t="inlineStr">
        <x:is>
          <x:t xml:space="preserve">JacksonDatabind_48</x:t>
        </x:is>
      </x:c>
      <x:c r="D447" s="1" t="inlineStr">
        <x:is>
          <x:t xml:space="preserve">NOT_AVAILABLE</x:t>
        </x:is>
      </x:c>
      <x:c r="E447" s="5"/>
      <x:c r="F447" s="4">
        <x:v>0</x:v>
      </x:c>
      <x:c r="G447" s="4">
        <x:v>70637</x:v>
      </x:c>
      <x:c r="H447" s="6">
        <x:v>2334.93</x:v>
      </x:c>
      <x:c r="I447" s="16">
        <x:v>1</x:v>
      </x:c>
      <x:c r="J447"/>
      <x:c r="K447" s="4"/>
      <x:c r="L447" s="4"/>
      <x:c r="M447" s="4"/>
      <x:c r="N447" s="5"/>
    </x:row>
    <x:row r="448" ht="24" customHeight="1">
      <x:c r="A448" s="1" t="inlineStr">
        <x:is>
          <x:t xml:space="preserve">RESULT</x:t>
        </x:is>
      </x:c>
      <x:c r="B448" s="1" t="inlineStr">
        <x:is>
          <x:t xml:space="preserve">Round1</x:t>
        </x:is>
      </x:c>
      <x:c r="C448" s="1" t="inlineStr">
        <x:is>
          <x:t xml:space="preserve">JacksonDatabind_49</x:t>
        </x:is>
      </x:c>
      <x:c r="D448" s="1" t="inlineStr">
        <x:is>
          <x:t xml:space="preserve">NOT_AVAILABLE</x:t>
        </x:is>
      </x:c>
      <x:c r="E448" s="5"/>
      <x:c r="F448" s="4">
        <x:v>0</x:v>
      </x:c>
      <x:c r="G448" s="4">
        <x:v>3801</x:v>
      </x:c>
      <x:c r="H448" s="6">
        <x:v>126.67</x:v>
      </x:c>
      <x:c r="I448" s="16">
        <x:v>1</x:v>
      </x:c>
      <x:c r="J448"/>
      <x:c r="K448" s="4"/>
      <x:c r="L448" s="4"/>
      <x:c r="M448" s="4"/>
      <x:c r="N448" s="5"/>
    </x:row>
    <x:row r="449" ht="24" customHeight="1">
      <x:c r="A449" s="1" t="inlineStr">
        <x:is>
          <x:t xml:space="preserve">RESULT</x:t>
        </x:is>
      </x:c>
      <x:c r="B449" s="1" t="inlineStr">
        <x:is>
          <x:t xml:space="preserve">Round1</x:t>
        </x:is>
      </x:c>
      <x:c r="C449" s="1" t="inlineStr">
        <x:is>
          <x:t xml:space="preserve">JacksonDatabind_5</x:t>
        </x:is>
      </x:c>
      <x:c r="D449" s="1" t="inlineStr">
        <x:is>
          <x:t xml:space="preserve">INCONCLUSIVE</x:t>
        </x:is>
      </x:c>
      <x:c r="E449" s="5">
        <x:v>0.5233</x:v>
      </x:c>
      <x:c r="F449" s="4">
        <x:v>0</x:v>
      </x:c>
      <x:c r="G449" s="4">
        <x:v>15673</x:v>
      </x:c>
      <x:c r="H449" s="6">
        <x:v>85.89</x:v>
      </x:c>
      <x:c r="I449" s="16">
        <x:v>1</x:v>
      </x:c>
      <x:c r="J449">
        <x:v>365</x:v>
      </x:c>
      <x:c r="K449" s="4">
        <x:v>191</x:v>
      </x:c>
      <x:c r="L449" s="4">
        <x:v>272</x:v>
      </x:c>
      <x:c r="M449" s="4">
        <x:v>106</x:v>
      </x:c>
      <x:c r="N449" s="5">
        <x:v>0.3897</x:v>
      </x:c>
    </x:row>
    <x:row r="450" ht="24" customHeight="1">
      <x:c r="A450" s="1" t="inlineStr">
        <x:is>
          <x:t xml:space="preserve">RESULT</x:t>
        </x:is>
      </x:c>
      <x:c r="B450" s="1" t="inlineStr">
        <x:is>
          <x:t xml:space="preserve">Round1</x:t>
        </x:is>
      </x:c>
      <x:c r="C450" s="1" t="inlineStr">
        <x:is>
          <x:t xml:space="preserve">JacksonDatabind_50</x:t>
        </x:is>
      </x:c>
      <x:c r="D450" s="1" t="inlineStr">
        <x:is>
          <x:t xml:space="preserve">NOT_AVAILABLE</x:t>
        </x:is>
      </x:c>
      <x:c r="E450" s="5"/>
      <x:c r="F450" s="4">
        <x:v>0</x:v>
      </x:c>
      <x:c r="G450" s="4">
        <x:v>11282</x:v>
      </x:c>
      <x:c r="H450" s="6">
        <x:v>39.29</x:v>
      </x:c>
      <x:c r="I450" s="16">
        <x:v>1</x:v>
      </x:c>
      <x:c r="J450"/>
      <x:c r="K450" s="4"/>
      <x:c r="L450" s="4"/>
      <x:c r="M450" s="4"/>
      <x:c r="N450" s="5"/>
    </x:row>
    <x:row r="451" ht="24" customHeight="1">
      <x:c r="A451" s="1" t="inlineStr">
        <x:is>
          <x:t xml:space="preserve">RESULT</x:t>
        </x:is>
      </x:c>
      <x:c r="B451" s="1" t="inlineStr">
        <x:is>
          <x:t xml:space="preserve">Round1</x:t>
        </x:is>
      </x:c>
      <x:c r="C451" s="1" t="inlineStr">
        <x:is>
          <x:t xml:space="preserve">JacksonDatabind_51</x:t>
        </x:is>
      </x:c>
      <x:c r="D451" s="1" t="inlineStr">
        <x:is>
          <x:t xml:space="preserve">NOT_AVAILABLE</x:t>
        </x:is>
      </x:c>
      <x:c r="E451" s="5"/>
      <x:c r="F451" s="4">
        <x:v>0</x:v>
      </x:c>
      <x:c r="G451" s="4">
        <x:v>14689</x:v>
      </x:c>
      <x:c r="H451" s="6">
        <x:v>99.43</x:v>
      </x:c>
      <x:c r="I451" s="16">
        <x:v>1</x:v>
      </x:c>
      <x:c r="J451"/>
      <x:c r="K451" s="4"/>
      <x:c r="L451" s="4"/>
      <x:c r="M451" s="4"/>
      <x:c r="N451" s="5"/>
    </x:row>
    <x:row r="452" ht="24" customHeight="1">
      <x:c r="A452" s="1" t="inlineStr">
        <x:is>
          <x:t xml:space="preserve">RESULT</x:t>
        </x:is>
      </x:c>
      <x:c r="B452" s="1" t="inlineStr">
        <x:is>
          <x:t xml:space="preserve">Round1</x:t>
        </x:is>
      </x:c>
      <x:c r="C452" s="1" t="inlineStr">
        <x:is>
          <x:t xml:space="preserve">JacksonDatabind_52</x:t>
        </x:is>
      </x:c>
      <x:c r="D452" s="1" t="inlineStr">
        <x:is>
          <x:t xml:space="preserve">NOT_AVAILABLE</x:t>
        </x:is>
      </x:c>
      <x:c r="E452" s="5"/>
      <x:c r="F452" s="4">
        <x:v>0</x:v>
      </x:c>
      <x:c r="G452" s="4">
        <x:v>62355</x:v>
      </x:c>
      <x:c r="H452" s="6">
        <x:v>330.25</x:v>
      </x:c>
      <x:c r="I452" s="16">
        <x:v>1</x:v>
      </x:c>
      <x:c r="J452"/>
      <x:c r="K452" s="4"/>
      <x:c r="L452" s="4"/>
      <x:c r="M452" s="4"/>
      <x:c r="N452" s="5"/>
    </x:row>
    <x:row r="453" ht="24" customHeight="1">
      <x:c r="A453" s="1" t="inlineStr">
        <x:is>
          <x:t xml:space="preserve">RESULT</x:t>
        </x:is>
      </x:c>
      <x:c r="B453" s="1" t="inlineStr">
        <x:is>
          <x:t xml:space="preserve">Round1</x:t>
        </x:is>
      </x:c>
      <x:c r="C453" s="1" t="inlineStr">
        <x:is>
          <x:t xml:space="preserve">JacksonDatabind_53</x:t>
        </x:is>
      </x:c>
      <x:c r="D453" s="1" t="inlineStr">
        <x:is>
          <x:t xml:space="preserve">INCONCLUSIVE</x:t>
        </x:is>
      </x:c>
      <x:c r="E453" s="5">
        <x:v>0.7931999999999999</x:v>
      </x:c>
      <x:c r="F453" s="4">
        <x:v>0</x:v>
      </x:c>
      <x:c r="G453" s="4">
        <x:v>88051</x:v>
      </x:c>
      <x:c r="H453" s="6">
        <x:v>414.25</x:v>
      </x:c>
      <x:c r="I453" s="16">
        <x:v>1</x:v>
      </x:c>
      <x:c r="J453">
        <x:v>503</x:v>
      </x:c>
      <x:c r="K453" s="4">
        <x:v>399</x:v>
      </x:c>
      <x:c r="L453" s="4">
        <x:v>346</x:v>
      </x:c>
      <x:c r="M453" s="4">
        <x:v>240</x:v>
      </x:c>
      <x:c r="N453" s="5">
        <x:v>0.6936</x:v>
      </x:c>
    </x:row>
    <x:row r="454" ht="24" customHeight="1">
      <x:c r="A454" s="1" t="inlineStr">
        <x:is>
          <x:t xml:space="preserve">RESULT</x:t>
        </x:is>
      </x:c>
      <x:c r="B454" s="1" t="inlineStr">
        <x:is>
          <x:t xml:space="preserve">Round1</x:t>
        </x:is>
      </x:c>
      <x:c r="C454" s="1" t="inlineStr">
        <x:is>
          <x:t xml:space="preserve">JacksonDatabind_54</x:t>
        </x:is>
      </x:c>
      <x:c r="D454" s="1" t="inlineStr">
        <x:is>
          <x:t xml:space="preserve">NOT_AVAILABLE</x:t>
        </x:is>
      </x:c>
      <x:c r="E454" s="5"/>
      <x:c r="F454" s="4">
        <x:v>0</x:v>
      </x:c>
      <x:c r="G454" s="4">
        <x:v>32372</x:v>
      </x:c>
      <x:c r="H454" s="6">
        <x:v>156.47</x:v>
      </x:c>
      <x:c r="I454" s="16">
        <x:v>1</x:v>
      </x:c>
      <x:c r="J454"/>
      <x:c r="K454" s="4"/>
      <x:c r="L454" s="4"/>
      <x:c r="M454" s="4"/>
      <x:c r="N454" s="5"/>
    </x:row>
    <x:row r="455" ht="24" customHeight="1">
      <x:c r="A455" s="1" t="inlineStr">
        <x:is>
          <x:t xml:space="preserve">RESULT</x:t>
        </x:is>
      </x:c>
      <x:c r="B455" s="1" t="inlineStr">
        <x:is>
          <x:t xml:space="preserve">Round1</x:t>
        </x:is>
      </x:c>
      <x:c r="C455" s="1" t="inlineStr">
        <x:is>
          <x:t xml:space="preserve">JacksonDatabind_55</x:t>
        </x:is>
      </x:c>
      <x:c r="D455" s="1" t="inlineStr">
        <x:is>
          <x:t xml:space="preserve">INCONCLUSIVE</x:t>
        </x:is>
      </x:c>
      <x:c r="E455" s="5">
        <x:v>0.7868999999999999</x:v>
      </x:c>
      <x:c r="F455" s="4">
        <x:v>0</x:v>
      </x:c>
      <x:c r="G455" s="4">
        <x:v>29318</x:v>
      </x:c>
      <x:c r="H455" s="6">
        <x:v>160.06</x:v>
      </x:c>
      <x:c r="I455" s="16">
        <x:v>1</x:v>
      </x:c>
      <x:c r="J455">
        <x:v>61</x:v>
      </x:c>
      <x:c r="K455" s="4">
        <x:v>48</x:v>
      </x:c>
      <x:c r="L455" s="4">
        <x:v>37</x:v>
      </x:c>
      <x:c r="M455" s="4">
        <x:v>32</x:v>
      </x:c>
      <x:c r="N455" s="5">
        <x:v>0.8649</x:v>
      </x:c>
    </x:row>
    <x:row r="456" ht="24" customHeight="1">
      <x:c r="A456" s="1" t="inlineStr">
        <x:is>
          <x:t xml:space="preserve">RESULT</x:t>
        </x:is>
      </x:c>
      <x:c r="B456" s="1" t="inlineStr">
        <x:is>
          <x:t xml:space="preserve">Round1</x:t>
        </x:is>
      </x:c>
      <x:c r="C456" s="1" t="inlineStr">
        <x:is>
          <x:t xml:space="preserve">JacksonDatabind_56</x:t>
        </x:is>
      </x:c>
      <x:c r="D456" s="1" t="inlineStr">
        <x:is>
          <x:t xml:space="preserve">NOT_AVAILABLE</x:t>
        </x:is>
      </x:c>
      <x:c r="E456" s="5"/>
      <x:c r="F456" s="4">
        <x:v>0</x:v>
      </x:c>
      <x:c r="G456" s="4">
        <x:v>34032</x:v>
      </x:c>
      <x:c r="H456" s="6">
        <x:v>181.95</x:v>
      </x:c>
      <x:c r="I456" s="16">
        <x:v>1</x:v>
      </x:c>
      <x:c r="J456"/>
      <x:c r="K456" s="4"/>
      <x:c r="L456" s="4"/>
      <x:c r="M456" s="4"/>
      <x:c r="N456" s="5"/>
    </x:row>
    <x:row r="457" ht="24" customHeight="1">
      <x:c r="A457" s="1" t="inlineStr">
        <x:is>
          <x:t xml:space="preserve">RESULT</x:t>
        </x:is>
      </x:c>
      <x:c r="B457" s="1" t="inlineStr">
        <x:is>
          <x:t xml:space="preserve">Round1</x:t>
        </x:is>
      </x:c>
      <x:c r="C457" s="1" t="inlineStr">
        <x:is>
          <x:t xml:space="preserve">JacksonDatabind_57</x:t>
        </x:is>
      </x:c>
      <x:c r="D457" s="1" t="inlineStr">
        <x:is>
          <x:t xml:space="preserve">INCONCLUSIVE</x:t>
        </x:is>
      </x:c>
      <x:c r="E457" s="5">
        <x:v>0.5528</x:v>
      </x:c>
      <x:c r="F457" s="4">
        <x:v>0</x:v>
      </x:c>
      <x:c r="G457" s="4">
        <x:v>47519</x:v>
      </x:c>
      <x:c r="H457" s="6">
        <x:v>221.33</x:v>
      </x:c>
      <x:c r="I457" s="16">
        <x:v>1</x:v>
      </x:c>
      <x:c r="J457">
        <x:v>407</x:v>
      </x:c>
      <x:c r="K457" s="4">
        <x:v>225</x:v>
      </x:c>
      <x:c r="L457" s="4">
        <x:v>156</x:v>
      </x:c>
      <x:c r="M457" s="4">
        <x:v>66</x:v>
      </x:c>
      <x:c r="N457" s="5">
        <x:v>0.42310000000000003</x:v>
      </x:c>
    </x:row>
    <x:row r="458" ht="24" customHeight="1">
      <x:c r="A458" s="1" t="inlineStr">
        <x:is>
          <x:t xml:space="preserve">RESULT</x:t>
        </x:is>
      </x:c>
      <x:c r="B458" s="1" t="inlineStr">
        <x:is>
          <x:t xml:space="preserve">Round1</x:t>
        </x:is>
      </x:c>
      <x:c r="C458" s="1" t="inlineStr">
        <x:is>
          <x:t xml:space="preserve">JacksonDatabind_58</x:t>
        </x:is>
      </x:c>
      <x:c r="D458" s="1" t="inlineStr">
        <x:is>
          <x:t xml:space="preserve">NOT_AVAILABLE</x:t>
        </x:is>
      </x:c>
      <x:c r="E458" s="5"/>
      <x:c r="F458" s="4">
        <x:v>0</x:v>
      </x:c>
      <x:c r="G458" s="4">
        <x:v>26722</x:v>
      </x:c>
      <x:c r="H458" s="6">
        <x:v>111.87</x:v>
      </x:c>
      <x:c r="I458" s="16">
        <x:v>1</x:v>
      </x:c>
      <x:c r="J458"/>
      <x:c r="K458" s="4"/>
      <x:c r="L458" s="4"/>
      <x:c r="M458" s="4"/>
      <x:c r="N458" s="5"/>
    </x:row>
    <x:row r="459" ht="24" customHeight="1">
      <x:c r="A459" s="1" t="inlineStr">
        <x:is>
          <x:t xml:space="preserve">RESULT</x:t>
        </x:is>
      </x:c>
      <x:c r="B459" s="1" t="inlineStr">
        <x:is>
          <x:t xml:space="preserve">Round1</x:t>
        </x:is>
      </x:c>
      <x:c r="C459" s="1" t="inlineStr">
        <x:is>
          <x:t xml:space="preserve">JacksonDatabind_59</x:t>
        </x:is>
      </x:c>
      <x:c r="D459" s="1" t="inlineStr">
        <x:is>
          <x:t xml:space="preserve">NOT_AVAILABLE</x:t>
        </x:is>
      </x:c>
      <x:c r="E459" s="5"/>
      <x:c r="F459" s="4">
        <x:v>0</x:v>
      </x:c>
      <x:c r="G459" s="4">
        <x:v>90899</x:v>
      </x:c>
      <x:c r="H459" s="6">
        <x:v>387.27</x:v>
      </x:c>
      <x:c r="I459" s="16">
        <x:v>1</x:v>
      </x:c>
      <x:c r="J459"/>
      <x:c r="K459" s="4"/>
      <x:c r="L459" s="4"/>
      <x:c r="M459" s="4"/>
      <x:c r="N459" s="5"/>
    </x:row>
    <x:row r="460" ht="24" customHeight="1">
      <x:c r="A460" s="1" t="inlineStr">
        <x:is>
          <x:t xml:space="preserve">RESULT</x:t>
        </x:is>
      </x:c>
      <x:c r="B460" s="1" t="inlineStr">
        <x:is>
          <x:t xml:space="preserve">Round1</x:t>
        </x:is>
      </x:c>
      <x:c r="C460" s="1" t="inlineStr">
        <x:is>
          <x:t xml:space="preserve">JacksonDatabind_6</x:t>
        </x:is>
      </x:c>
      <x:c r="D460" s="1" t="inlineStr">
        <x:is>
          <x:t xml:space="preserve">NOT_REVEALING</x:t>
        </x:is>
      </x:c>
      <x:c r="E460" s="5">
        <x:v>0.8926000000000001</x:v>
      </x:c>
      <x:c r="F460" s="4">
        <x:v>0</x:v>
      </x:c>
      <x:c r="G460" s="4">
        <x:v>21898</x:v>
      </x:c>
      <x:c r="H460" s="6">
        <x:v>84.61</x:v>
      </x:c>
      <x:c r="I460" s="16">
        <x:v>1</x:v>
      </x:c>
      <x:c r="J460">
        <x:v>149</x:v>
      </x:c>
      <x:c r="K460" s="4">
        <x:v>133</x:v>
      </x:c>
      <x:c r="L460" s="4">
        <x:v>94</x:v>
      </x:c>
      <x:c r="M460" s="4">
        <x:v>71</x:v>
      </x:c>
      <x:c r="N460" s="5">
        <x:v>0.7553</x:v>
      </x:c>
    </x:row>
    <x:row r="461" ht="24" customHeight="1">
      <x:c r="A461" s="1" t="inlineStr">
        <x:is>
          <x:t xml:space="preserve">RESULT</x:t>
        </x:is>
      </x:c>
      <x:c r="B461" s="1" t="inlineStr">
        <x:is>
          <x:t xml:space="preserve">Round1</x:t>
        </x:is>
      </x:c>
      <x:c r="C461" s="1" t="inlineStr">
        <x:is>
          <x:t xml:space="preserve">JacksonDatabind_60</x:t>
        </x:is>
      </x:c>
      <x:c r="D461" s="1" t="inlineStr">
        <x:is>
          <x:t xml:space="preserve">NOT_AVAILABLE</x:t>
        </x:is>
      </x:c>
      <x:c r="E461" s="5"/>
      <x:c r="F461" s="4">
        <x:v>0</x:v>
      </x:c>
      <x:c r="G461" s="4">
        <x:v>41995</x:v>
      </x:c>
      <x:c r="H461" s="6">
        <x:v>191.28</x:v>
      </x:c>
      <x:c r="I461" s="16">
        <x:v>1</x:v>
      </x:c>
      <x:c r="J461"/>
      <x:c r="K461" s="4"/>
      <x:c r="L461" s="4"/>
      <x:c r="M461" s="4"/>
      <x:c r="N461" s="5"/>
    </x:row>
    <x:row r="462" ht="24" customHeight="1">
      <x:c r="A462" s="1" t="inlineStr">
        <x:is>
          <x:t xml:space="preserve">RESULT</x:t>
        </x:is>
      </x:c>
      <x:c r="B462" s="1" t="inlineStr">
        <x:is>
          <x:t xml:space="preserve">Round1</x:t>
        </x:is>
      </x:c>
      <x:c r="C462" s="1" t="inlineStr">
        <x:is>
          <x:t xml:space="preserve">JacksonDatabind_61</x:t>
        </x:is>
      </x:c>
      <x:c r="D462" s="1" t="inlineStr">
        <x:is>
          <x:t xml:space="preserve">NOT_AVAILABLE</x:t>
        </x:is>
      </x:c>
      <x:c r="E462" s="5"/>
      <x:c r="F462" s="4">
        <x:v>0</x:v>
      </x:c>
      <x:c r="G462" s="4">
        <x:v>60197</x:v>
      </x:c>
      <x:c r="H462" s="6">
        <x:v>210.69</x:v>
      </x:c>
      <x:c r="I462" s="16">
        <x:v>1</x:v>
      </x:c>
      <x:c r="J462"/>
      <x:c r="K462" s="4"/>
      <x:c r="L462" s="4"/>
      <x:c r="M462" s="4"/>
      <x:c r="N462" s="5"/>
    </x:row>
    <x:row r="463" ht="24" customHeight="1">
      <x:c r="A463" s="1" t="inlineStr">
        <x:is>
          <x:t xml:space="preserve">RESULT</x:t>
        </x:is>
      </x:c>
      <x:c r="B463" s="1" t="inlineStr">
        <x:is>
          <x:t xml:space="preserve">Round1</x:t>
        </x:is>
      </x:c>
      <x:c r="C463" s="1" t="inlineStr">
        <x:is>
          <x:t xml:space="preserve">JacksonDatabind_62</x:t>
        </x:is>
      </x:c>
      <x:c r="D463" s="1" t="inlineStr">
        <x:is>
          <x:t xml:space="preserve">NOT_AVAILABLE</x:t>
        </x:is>
      </x:c>
      <x:c r="E463" s="5"/>
      <x:c r="F463" s="4">
        <x:v>0</x:v>
      </x:c>
      <x:c r="G463" s="4">
        <x:v>25738</x:v>
      </x:c>
      <x:c r="H463" s="6">
        <x:v>105.66</x:v>
      </x:c>
      <x:c r="I463" s="16">
        <x:v>1</x:v>
      </x:c>
      <x:c r="J463"/>
      <x:c r="K463" s="4"/>
      <x:c r="L463" s="4"/>
      <x:c r="M463" s="4"/>
      <x:c r="N463" s="5"/>
    </x:row>
    <x:row r="464" ht="24" customHeight="1">
      <x:c r="A464" s="1" t="inlineStr">
        <x:is>
          <x:t xml:space="preserve">RESULT</x:t>
        </x:is>
      </x:c>
      <x:c r="B464" s="1" t="inlineStr">
        <x:is>
          <x:t xml:space="preserve">Round1</x:t>
        </x:is>
      </x:c>
      <x:c r="C464" s="1" t="inlineStr">
        <x:is>
          <x:t xml:space="preserve">JacksonDatabind_63</x:t>
        </x:is>
      </x:c>
      <x:c r="D464" s="1" t="inlineStr">
        <x:is>
          <x:t xml:space="preserve">INCONCLUSIVE</x:t>
        </x:is>
      </x:c>
      <x:c r="E464" s="5">
        <x:v>0.8210999999999999</x:v>
      </x:c>
      <x:c r="F464" s="4">
        <x:v>0</x:v>
      </x:c>
      <x:c r="G464" s="4">
        <x:v>34186</x:v>
      </x:c>
      <x:c r="H464" s="6">
        <x:v>166.77</x:v>
      </x:c>
      <x:c r="I464" s="16">
        <x:v>1</x:v>
      </x:c>
      <x:c r="J464">
        <x:v>123</x:v>
      </x:c>
      <x:c r="K464" s="4">
        <x:v>101</x:v>
      </x:c>
      <x:c r="L464" s="4">
        <x:v>44</x:v>
      </x:c>
      <x:c r="M464" s="4">
        <x:v>35</x:v>
      </x:c>
      <x:c r="N464" s="5">
        <x:v>0.7955</x:v>
      </x:c>
    </x:row>
    <x:row r="465" ht="24" customHeight="1">
      <x:c r="A465" s="1" t="inlineStr">
        <x:is>
          <x:t xml:space="preserve">RESULT</x:t>
        </x:is>
      </x:c>
      <x:c r="B465" s="1" t="inlineStr">
        <x:is>
          <x:t xml:space="preserve">Round1</x:t>
        </x:is>
      </x:c>
      <x:c r="C465" s="1" t="inlineStr">
        <x:is>
          <x:t xml:space="preserve">JacksonDatabind_64</x:t>
        </x:is>
      </x:c>
      <x:c r="D465" s="1" t="inlineStr">
        <x:is>
          <x:t xml:space="preserve">NOT_AVAILABLE</x:t>
        </x:is>
      </x:c>
      <x:c r="E465" s="5"/>
      <x:c r="F465" s="4">
        <x:v>0</x:v>
      </x:c>
      <x:c r="G465" s="4">
        <x:v>29076</x:v>
      </x:c>
      <x:c r="H465" s="6">
        <x:v>126.95</x:v>
      </x:c>
      <x:c r="I465" s="16">
        <x:v>1</x:v>
      </x:c>
      <x:c r="J465"/>
      <x:c r="K465" s="4"/>
      <x:c r="L465" s="4"/>
      <x:c r="M465" s="4"/>
      <x:c r="N465" s="5"/>
    </x:row>
    <x:row r="466" ht="24" customHeight="1">
      <x:c r="A466" s="1" t="inlineStr">
        <x:is>
          <x:t xml:space="preserve">RESULT</x:t>
        </x:is>
      </x:c>
      <x:c r="B466" s="1" t="inlineStr">
        <x:is>
          <x:t xml:space="preserve">Round1</x:t>
        </x:is>
      </x:c>
      <x:c r="C466" s="1" t="inlineStr">
        <x:is>
          <x:t xml:space="preserve">JacksonDatabind_66</x:t>
        </x:is>
      </x:c>
      <x:c r="D466" s="1" t="inlineStr">
        <x:is>
          <x:t xml:space="preserve">NOT_REVEALING</x:t>
        </x:is>
      </x:c>
      <x:c r="E466" s="5">
        <x:v>0.5321</x:v>
      </x:c>
      <x:c r="F466" s="4">
        <x:v>0</x:v>
      </x:c>
      <x:c r="G466" s="4">
        <x:v>26274</x:v>
      </x:c>
      <x:c r="H466" s="6">
        <x:v>104.83</x:v>
      </x:c>
      <x:c r="I466" s="16">
        <x:v>1</x:v>
      </x:c>
      <x:c r="J466">
        <x:v>156</x:v>
      </x:c>
      <x:c r="K466" s="4">
        <x:v>83</x:v>
      </x:c>
      <x:c r="L466" s="4">
        <x:v>95</x:v>
      </x:c>
      <x:c r="M466" s="4">
        <x:v>62</x:v>
      </x:c>
      <x:c r="N466" s="5">
        <x:v>0.6526000000000001</x:v>
      </x:c>
    </x:row>
    <x:row r="467" ht="24" customHeight="1">
      <x:c r="A467" s="1" t="inlineStr">
        <x:is>
          <x:t xml:space="preserve">RESULT</x:t>
        </x:is>
      </x:c>
      <x:c r="B467" s="1" t="inlineStr">
        <x:is>
          <x:t xml:space="preserve">Round1</x:t>
        </x:is>
      </x:c>
      <x:c r="C467" s="1" t="inlineStr">
        <x:is>
          <x:t xml:space="preserve">JacksonDatabind_67</x:t>
        </x:is>
      </x:c>
      <x:c r="D467" s="1" t="inlineStr">
        <x:is>
          <x:t xml:space="preserve">NOT_AVAILABLE</x:t>
        </x:is>
      </x:c>
      <x:c r="E467" s="5"/>
      <x:c r="F467" s="4">
        <x:v>0</x:v>
      </x:c>
      <x:c r="G467" s="4">
        <x:v>33108</x:v>
      </x:c>
      <x:c r="H467" s="6">
        <x:v>89.04</x:v>
      </x:c>
      <x:c r="I467" s="16">
        <x:v>1</x:v>
      </x:c>
      <x:c r="J467"/>
      <x:c r="K467" s="4"/>
      <x:c r="L467" s="4"/>
      <x:c r="M467" s="4"/>
      <x:c r="N467" s="5"/>
    </x:row>
    <x:row r="468" ht="24" customHeight="1">
      <x:c r="A468" s="1" t="inlineStr">
        <x:is>
          <x:t xml:space="preserve">RESULT</x:t>
        </x:is>
      </x:c>
      <x:c r="B468" s="1" t="inlineStr">
        <x:is>
          <x:t xml:space="preserve">Round1</x:t>
        </x:is>
      </x:c>
      <x:c r="C468" s="1" t="inlineStr">
        <x:is>
          <x:t xml:space="preserve">JacksonDatabind_68</x:t>
        </x:is>
      </x:c>
      <x:c r="D468" s="1" t="inlineStr">
        <x:is>
          <x:t xml:space="preserve">INCONCLUSIVE</x:t>
        </x:is>
      </x:c>
      <x:c r="E468" s="5">
        <x:v>0.0017000000000000001</x:v>
      </x:c>
      <x:c r="F468" s="4">
        <x:v>0</x:v>
      </x:c>
      <x:c r="G468" s="4">
        <x:v>40387</x:v>
      </x:c>
      <x:c r="H468" s="6">
        <x:v>148.97</x:v>
      </x:c>
      <x:c r="I468" s="16">
        <x:v>1</x:v>
      </x:c>
      <x:c r="J468">
        <x:v>592</x:v>
      </x:c>
      <x:c r="K468" s="4">
        <x:v>1</x:v>
      </x:c>
      <x:c r="L468" s="4">
        <x:v>369</x:v>
      </x:c>
      <x:c r="M468" s="4">
        <x:v>0</x:v>
      </x:c>
      <x:c r="N468" s="5">
        <x:v>0.0</x:v>
      </x:c>
    </x:row>
    <x:row r="469" ht="24" customHeight="1">
      <x:c r="A469" s="1" t="inlineStr">
        <x:is>
          <x:t xml:space="preserve">RESULT</x:t>
        </x:is>
      </x:c>
      <x:c r="B469" s="1" t="inlineStr">
        <x:is>
          <x:t xml:space="preserve">Round1</x:t>
        </x:is>
      </x:c>
      <x:c r="C469" s="1" t="inlineStr">
        <x:is>
          <x:t xml:space="preserve">JacksonDatabind_69</x:t>
        </x:is>
      </x:c>
      <x:c r="D469" s="1" t="inlineStr">
        <x:is>
          <x:t xml:space="preserve">NOT_AVAILABLE</x:t>
        </x:is>
      </x:c>
      <x:c r="E469" s="5"/>
      <x:c r="F469" s="4">
        <x:v>0</x:v>
      </x:c>
      <x:c r="G469" s="4">
        <x:v>26170</x:v>
      </x:c>
      <x:c r="H469" s="6">
        <x:v>115.5</x:v>
      </x:c>
      <x:c r="I469" s="16">
        <x:v>1</x:v>
      </x:c>
      <x:c r="J469"/>
      <x:c r="K469" s="4"/>
      <x:c r="L469" s="4"/>
      <x:c r="M469" s="4"/>
      <x:c r="N469" s="5"/>
    </x:row>
    <x:row r="470" ht="24" customHeight="1">
      <x:c r="A470" s="1" t="inlineStr">
        <x:is>
          <x:t xml:space="preserve">RESULT</x:t>
        </x:is>
      </x:c>
      <x:c r="B470" s="1" t="inlineStr">
        <x:is>
          <x:t xml:space="preserve">Round1</x:t>
        </x:is>
      </x:c>
      <x:c r="C470" s="1" t="inlineStr">
        <x:is>
          <x:t xml:space="preserve">JacksonDatabind_7</x:t>
        </x:is>
      </x:c>
      <x:c r="D470" s="1" t="inlineStr">
        <x:is>
          <x:t xml:space="preserve">NOT_AVAILABLE</x:t>
        </x:is>
      </x:c>
      <x:c r="E470" s="5"/>
      <x:c r="F470" s="4">
        <x:v>0</x:v>
      </x:c>
      <x:c r="G470" s="4">
        <x:v>35233</x:v>
      </x:c>
      <x:c r="H470" s="6">
        <x:v>122.98</x:v>
      </x:c>
      <x:c r="I470" s="16">
        <x:v>1</x:v>
      </x:c>
      <x:c r="J470"/>
      <x:c r="K470" s="4"/>
      <x:c r="L470" s="4"/>
      <x:c r="M470" s="4"/>
      <x:c r="N470" s="5"/>
    </x:row>
    <x:row r="471" ht="24" customHeight="1">
      <x:c r="A471" s="1" t="inlineStr">
        <x:is>
          <x:t xml:space="preserve">RESULT</x:t>
        </x:is>
      </x:c>
      <x:c r="B471" s="1" t="inlineStr">
        <x:is>
          <x:t xml:space="preserve">Round1</x:t>
        </x:is>
      </x:c>
      <x:c r="C471" s="1" t="inlineStr">
        <x:is>
          <x:t xml:space="preserve">JacksonDatabind_70</x:t>
        </x:is>
      </x:c>
      <x:c r="D471" s="1" t="inlineStr">
        <x:is>
          <x:t xml:space="preserve">NOT_AVAILABLE</x:t>
        </x:is>
      </x:c>
      <x:c r="E471" s="5"/>
      <x:c r="F471" s="4">
        <x:v>0</x:v>
      </x:c>
      <x:c r="G471" s="4">
        <x:v>28271</x:v>
      </x:c>
      <x:c r="H471" s="6">
        <x:v>101.79</x:v>
      </x:c>
      <x:c r="I471" s="16">
        <x:v>1</x:v>
      </x:c>
      <x:c r="J471"/>
      <x:c r="K471" s="4"/>
      <x:c r="L471" s="4"/>
      <x:c r="M471" s="4"/>
      <x:c r="N471" s="5"/>
    </x:row>
    <x:row r="472" ht="24" customHeight="1">
      <x:c r="A472" s="1" t="inlineStr">
        <x:is>
          <x:t xml:space="preserve">RESULT</x:t>
        </x:is>
      </x:c>
      <x:c r="B472" s="1" t="inlineStr">
        <x:is>
          <x:t xml:space="preserve">Round1</x:t>
        </x:is>
      </x:c>
      <x:c r="C472" s="1" t="inlineStr">
        <x:is>
          <x:t xml:space="preserve">JacksonDatabind_71</x:t>
        </x:is>
      </x:c>
      <x:c r="D472" s="1" t="inlineStr">
        <x:is>
          <x:t xml:space="preserve">INCONCLUSIVE</x:t>
        </x:is>
      </x:c>
      <x:c r="E472" s="5">
        <x:v>0.8054000000000001</x:v>
      </x:c>
      <x:c r="F472" s="4">
        <x:v>0</x:v>
      </x:c>
      <x:c r="G472" s="4">
        <x:v>29033</x:v>
      </x:c>
      <x:c r="H472" s="6">
        <x:v>129.43</x:v>
      </x:c>
      <x:c r="I472" s="16">
        <x:v>1</x:v>
      </x:c>
      <x:c r="J472">
        <x:v>149</x:v>
      </x:c>
      <x:c r="K472" s="4">
        <x:v>120</x:v>
      </x:c>
      <x:c r="L472" s="4">
        <x:v>95</x:v>
      </x:c>
      <x:c r="M472" s="4">
        <x:v>79</x:v>
      </x:c>
      <x:c r="N472" s="5">
        <x:v>0.8316</x:v>
      </x:c>
    </x:row>
    <x:row r="473" ht="24" customHeight="1">
      <x:c r="A473" s="1" t="inlineStr">
        <x:is>
          <x:t xml:space="preserve">RESULT</x:t>
        </x:is>
      </x:c>
      <x:c r="B473" s="1" t="inlineStr">
        <x:is>
          <x:t xml:space="preserve">Round1</x:t>
        </x:is>
      </x:c>
      <x:c r="C473" s="1" t="inlineStr">
        <x:is>
          <x:t xml:space="preserve">JacksonDatabind_72</x:t>
        </x:is>
      </x:c>
      <x:c r="D473" s="1" t="inlineStr">
        <x:is>
          <x:t xml:space="preserve">NOT_AVAILABLE</x:t>
        </x:is>
      </x:c>
      <x:c r="E473" s="5"/>
      <x:c r="F473" s="4">
        <x:v>0</x:v>
      </x:c>
      <x:c r="G473" s="4">
        <x:v>46082</x:v>
      </x:c>
      <x:c r="H473" s="6">
        <x:v>213.78</x:v>
      </x:c>
      <x:c r="I473" s="16">
        <x:v>1</x:v>
      </x:c>
      <x:c r="J473"/>
      <x:c r="K473" s="4"/>
      <x:c r="L473" s="4"/>
      <x:c r="M473" s="4"/>
      <x:c r="N473" s="5"/>
    </x:row>
    <x:row r="474" ht="24" customHeight="1">
      <x:c r="A474" s="1" t="inlineStr">
        <x:is>
          <x:t xml:space="preserve">RESULT</x:t>
        </x:is>
      </x:c>
      <x:c r="B474" s="1" t="inlineStr">
        <x:is>
          <x:t xml:space="preserve">Round1</x:t>
        </x:is>
      </x:c>
      <x:c r="C474" s="1" t="inlineStr">
        <x:is>
          <x:t xml:space="preserve">JacksonDatabind_73</x:t>
        </x:is>
      </x:c>
      <x:c r="D474" s="1" t="inlineStr">
        <x:is>
          <x:t xml:space="preserve">NOT_REVEALING</x:t>
        </x:is>
      </x:c>
      <x:c r="E474" s="5">
        <x:v>0.6831999999999999</x:v>
      </x:c>
      <x:c r="F474" s="4">
        <x:v>0</x:v>
      </x:c>
      <x:c r="G474" s="4">
        <x:v>81613</x:v>
      </x:c>
      <x:c r="H474" s="6">
        <x:v>363.26</x:v>
      </x:c>
      <x:c r="I474" s="16">
        <x:v>1</x:v>
      </x:c>
      <x:c r="J474">
        <x:v>928</x:v>
      </x:c>
      <x:c r="K474" s="4">
        <x:v>634</x:v>
      </x:c>
      <x:c r="L474" s="4">
        <x:v>716</x:v>
      </x:c>
      <x:c r="M474" s="4">
        <x:v>389</x:v>
      </x:c>
      <x:c r="N474" s="5">
        <x:v>0.5433</x:v>
      </x:c>
    </x:row>
    <x:row r="475" ht="24" customHeight="1">
      <x:c r="A475" s="1" t="inlineStr">
        <x:is>
          <x:t xml:space="preserve">RESULT</x:t>
        </x:is>
      </x:c>
      <x:c r="B475" s="1" t="inlineStr">
        <x:is>
          <x:t xml:space="preserve">Round1</x:t>
        </x:is>
      </x:c>
      <x:c r="C475" s="1" t="inlineStr">
        <x:is>
          <x:t xml:space="preserve">JacksonDatabind_74</x:t>
        </x:is>
      </x:c>
      <x:c r="D475" s="1" t="inlineStr">
        <x:is>
          <x:t xml:space="preserve">NOT_AVAILABLE</x:t>
        </x:is>
      </x:c>
      <x:c r="E475" s="5"/>
      <x:c r="F475" s="4">
        <x:v>0</x:v>
      </x:c>
      <x:c r="G475" s="4">
        <x:v>31978</x:v>
      </x:c>
      <x:c r="H475" s="6">
        <x:v>168.92</x:v>
      </x:c>
      <x:c r="I475" s="16">
        <x:v>1</x:v>
      </x:c>
      <x:c r="J475"/>
      <x:c r="K475" s="4"/>
      <x:c r="L475" s="4"/>
      <x:c r="M475" s="4"/>
      <x:c r="N475" s="5"/>
    </x:row>
    <x:row r="476" ht="24" customHeight="1">
      <x:c r="A476" s="1" t="inlineStr">
        <x:is>
          <x:t xml:space="preserve">RESULT</x:t>
        </x:is>
      </x:c>
      <x:c r="B476" s="1" t="inlineStr">
        <x:is>
          <x:t xml:space="preserve">Round1</x:t>
        </x:is>
      </x:c>
      <x:c r="C476" s="1" t="inlineStr">
        <x:is>
          <x:t xml:space="preserve">JacksonDatabind_75</x:t>
        </x:is>
      </x:c>
      <x:c r="D476" s="1" t="inlineStr">
        <x:is>
          <x:t xml:space="preserve">NOT_AVAILABLE</x:t>
        </x:is>
      </x:c>
      <x:c r="E476" s="5"/>
      <x:c r="F476" s="4">
        <x:v>0</x:v>
      </x:c>
      <x:c r="G476" s="4">
        <x:v>17169</x:v>
      </x:c>
      <x:c r="H476" s="6">
        <x:v>73.19</x:v>
      </x:c>
      <x:c r="I476" s="16">
        <x:v>1</x:v>
      </x:c>
      <x:c r="J476"/>
      <x:c r="K476" s="4"/>
      <x:c r="L476" s="4"/>
      <x:c r="M476" s="4"/>
      <x:c r="N476" s="5"/>
    </x:row>
    <x:row r="477" ht="24" customHeight="1">
      <x:c r="A477" s="1" t="inlineStr">
        <x:is>
          <x:t xml:space="preserve">RESULT</x:t>
        </x:is>
      </x:c>
      <x:c r="B477" s="1" t="inlineStr">
        <x:is>
          <x:t xml:space="preserve">Round1</x:t>
        </x:is>
      </x:c>
      <x:c r="C477" s="1" t="inlineStr">
        <x:is>
          <x:t xml:space="preserve">JacksonDatabind_76</x:t>
        </x:is>
      </x:c>
      <x:c r="D477" s="1" t="inlineStr">
        <x:is>
          <x:t xml:space="preserve">NOT_AVAILABLE</x:t>
        </x:is>
      </x:c>
      <x:c r="E477" s="5"/>
      <x:c r="F477" s="4">
        <x:v>0</x:v>
      </x:c>
      <x:c r="G477" s="4">
        <x:v>46110</x:v>
      </x:c>
      <x:c r="H477" s="6">
        <x:v>224.48</x:v>
      </x:c>
      <x:c r="I477" s="16">
        <x:v>1</x:v>
      </x:c>
      <x:c r="J477"/>
      <x:c r="K477" s="4"/>
      <x:c r="L477" s="4"/>
      <x:c r="M477" s="4"/>
      <x:c r="N477" s="5"/>
    </x:row>
    <x:row r="478" ht="24" customHeight="1">
      <x:c r="A478" s="1" t="inlineStr">
        <x:is>
          <x:t xml:space="preserve">RESULT</x:t>
        </x:is>
      </x:c>
      <x:c r="B478" s="1" t="inlineStr">
        <x:is>
          <x:t xml:space="preserve">Round1</x:t>
        </x:is>
      </x:c>
      <x:c r="C478" s="1" t="inlineStr">
        <x:is>
          <x:t xml:space="preserve">JacksonDatabind_77</x:t>
        </x:is>
      </x:c>
      <x:c r="D478" s="1" t="inlineStr">
        <x:is>
          <x:t xml:space="preserve">NOT_AVAILABLE</x:t>
        </x:is>
      </x:c>
      <x:c r="E478" s="5"/>
      <x:c r="F478" s="4">
        <x:v>0</x:v>
      </x:c>
      <x:c r="G478" s="4">
        <x:v>24529</x:v>
      </x:c>
      <x:c r="H478" s="6">
        <x:v>100.9</x:v>
      </x:c>
      <x:c r="I478" s="16">
        <x:v>1</x:v>
      </x:c>
      <x:c r="J478"/>
      <x:c r="K478" s="4"/>
      <x:c r="L478" s="4"/>
      <x:c r="M478" s="4"/>
      <x:c r="N478" s="5"/>
    </x:row>
    <x:row r="479" ht="24" customHeight="1">
      <x:c r="A479" s="1" t="inlineStr">
        <x:is>
          <x:t xml:space="preserve">RESULT</x:t>
        </x:is>
      </x:c>
      <x:c r="B479" s="1" t="inlineStr">
        <x:is>
          <x:t xml:space="preserve">Round1</x:t>
        </x:is>
      </x:c>
      <x:c r="C479" s="1" t="inlineStr">
        <x:is>
          <x:t xml:space="preserve">JacksonDatabind_78</x:t>
        </x:is>
      </x:c>
      <x:c r="D479" s="1" t="inlineStr">
        <x:is>
          <x:t xml:space="preserve">NOT_REVEALING</x:t>
        </x:is>
      </x:c>
      <x:c r="E479" s="5">
        <x:v>0.7232</x:v>
      </x:c>
      <x:c r="F479" s="4">
        <x:v>0</x:v>
      </x:c>
      <x:c r="G479" s="4">
        <x:v>30958</x:v>
      </x:c>
      <x:c r="H479" s="6">
        <x:v>131.59</x:v>
      </x:c>
      <x:c r="I479" s="16">
        <x:v>1</x:v>
      </x:c>
      <x:c r="J479">
        <x:v>336</x:v>
      </x:c>
      <x:c r="K479" s="4">
        <x:v>243</x:v>
      </x:c>
      <x:c r="L479" s="4">
        <x:v>210</x:v>
      </x:c>
      <x:c r="M479" s="4">
        <x:v>118</x:v>
      </x:c>
      <x:c r="N479" s="5">
        <x:v>0.5619</x:v>
      </x:c>
    </x:row>
    <x:row r="480" ht="24" customHeight="1">
      <x:c r="A480" s="1" t="inlineStr">
        <x:is>
          <x:t xml:space="preserve">RESULT</x:t>
        </x:is>
      </x:c>
      <x:c r="B480" s="1" t="inlineStr">
        <x:is>
          <x:t xml:space="preserve">Round1</x:t>
        </x:is>
      </x:c>
      <x:c r="C480" s="1" t="inlineStr">
        <x:is>
          <x:t xml:space="preserve">JacksonDatabind_79</x:t>
        </x:is>
      </x:c>
      <x:c r="D480" s="1" t="inlineStr">
        <x:is>
          <x:t xml:space="preserve">NOT_AVAILABLE</x:t>
        </x:is>
      </x:c>
      <x:c r="E480" s="5"/>
      <x:c r="F480" s="4">
        <x:v>0</x:v>
      </x:c>
      <x:c r="G480" s="4">
        <x:v>83758</x:v>
      </x:c>
      <x:c r="H480" s="6">
        <x:v>348.2</x:v>
      </x:c>
      <x:c r="I480" s="16">
        <x:v>1</x:v>
      </x:c>
      <x:c r="J480"/>
      <x:c r="K480" s="4"/>
      <x:c r="L480" s="4"/>
      <x:c r="M480" s="4"/>
      <x:c r="N480" s="5"/>
    </x:row>
    <x:row r="481" ht="24" customHeight="1">
      <x:c r="A481" s="1" t="inlineStr">
        <x:is>
          <x:t xml:space="preserve">RESULT</x:t>
        </x:is>
      </x:c>
      <x:c r="B481" s="1" t="inlineStr">
        <x:is>
          <x:t xml:space="preserve">Round1</x:t>
        </x:is>
      </x:c>
      <x:c r="C481" s="1" t="inlineStr">
        <x:is>
          <x:t xml:space="preserve">JacksonDatabind_8</x:t>
        </x:is>
      </x:c>
      <x:c r="D481" s="1" t="inlineStr">
        <x:is>
          <x:t xml:space="preserve">NOT_AVAILABLE</x:t>
        </x:is>
      </x:c>
      <x:c r="E481" s="5"/>
      <x:c r="F481" s="4">
        <x:v>0</x:v>
      </x:c>
      <x:c r="G481" s="4">
        <x:v>32101</x:v>
      </x:c>
      <x:c r="H481" s="6">
        <x:v>140.28</x:v>
      </x:c>
      <x:c r="I481" s="16">
        <x:v>1</x:v>
      </x:c>
      <x:c r="J481"/>
      <x:c r="K481" s="4"/>
      <x:c r="L481" s="4"/>
      <x:c r="M481" s="4"/>
      <x:c r="N481" s="5"/>
    </x:row>
    <x:row r="482" ht="24" customHeight="1">
      <x:c r="A482" s="1" t="inlineStr">
        <x:is>
          <x:t xml:space="preserve">RESULT</x:t>
        </x:is>
      </x:c>
      <x:c r="B482" s="1" t="inlineStr">
        <x:is>
          <x:t xml:space="preserve">Round1</x:t>
        </x:is>
      </x:c>
      <x:c r="C482" s="1" t="inlineStr">
        <x:is>
          <x:t xml:space="preserve">JacksonDatabind_80</x:t>
        </x:is>
      </x:c>
      <x:c r="D482" s="1" t="inlineStr">
        <x:is>
          <x:t xml:space="preserve">NOT_AVAILABLE</x:t>
        </x:is>
      </x:c>
      <x:c r="E482" s="5"/>
      <x:c r="F482" s="4">
        <x:v>0</x:v>
      </x:c>
      <x:c r="G482" s="4">
        <x:v>66057</x:v>
      </x:c>
      <x:c r="H482" s="6">
        <x:v>323.25</x:v>
      </x:c>
      <x:c r="I482" s="16">
        <x:v>1</x:v>
      </x:c>
      <x:c r="J482"/>
      <x:c r="K482" s="4"/>
      <x:c r="L482" s="4"/>
      <x:c r="M482" s="4"/>
      <x:c r="N482" s="5"/>
    </x:row>
    <x:row r="483" ht="24" customHeight="1">
      <x:c r="A483" s="1" t="inlineStr">
        <x:is>
          <x:t xml:space="preserve">RESULT</x:t>
        </x:is>
      </x:c>
      <x:c r="B483" s="1" t="inlineStr">
        <x:is>
          <x:t xml:space="preserve">Round1</x:t>
        </x:is>
      </x:c>
      <x:c r="C483" s="1" t="inlineStr">
        <x:is>
          <x:t xml:space="preserve">JacksonDatabind_81</x:t>
        </x:is>
      </x:c>
      <x:c r="D483" s="1" t="inlineStr">
        <x:is>
          <x:t xml:space="preserve">NOT_AVAILABLE</x:t>
        </x:is>
      </x:c>
      <x:c r="E483" s="5"/>
      <x:c r="F483" s="4">
        <x:v>0</x:v>
      </x:c>
      <x:c r="G483" s="4">
        <x:v>47361</x:v>
      </x:c>
      <x:c r="H483" s="6">
        <x:v>171.4</x:v>
      </x:c>
      <x:c r="I483" s="16">
        <x:v>1</x:v>
      </x:c>
      <x:c r="J483"/>
      <x:c r="K483" s="4"/>
      <x:c r="L483" s="4"/>
      <x:c r="M483" s="4"/>
      <x:c r="N483" s="5"/>
    </x:row>
    <x:row r="484" ht="24" customHeight="1">
      <x:c r="A484" s="1" t="inlineStr">
        <x:is>
          <x:t xml:space="preserve">RESULT</x:t>
        </x:is>
      </x:c>
      <x:c r="B484" s="1" t="inlineStr">
        <x:is>
          <x:t xml:space="preserve">Round1</x:t>
        </x:is>
      </x:c>
      <x:c r="C484" s="1" t="inlineStr">
        <x:is>
          <x:t xml:space="preserve">JacksonDatabind_82</x:t>
        </x:is>
      </x:c>
      <x:c r="D484" s="1" t="inlineStr">
        <x:is>
          <x:t xml:space="preserve">NOT_AVAILABLE</x:t>
        </x:is>
      </x:c>
      <x:c r="E484" s="5"/>
      <x:c r="F484" s="4">
        <x:v>0</x:v>
      </x:c>
      <x:c r="G484" s="4">
        <x:v>46167</x:v>
      </x:c>
      <x:c r="H484" s="6">
        <x:v>208.58</x:v>
      </x:c>
      <x:c r="I484" s="16">
        <x:v>1</x:v>
      </x:c>
      <x:c r="J484"/>
      <x:c r="K484" s="4"/>
      <x:c r="L484" s="4"/>
      <x:c r="M484" s="4"/>
      <x:c r="N484" s="5"/>
    </x:row>
    <x:row r="485" ht="24" customHeight="1">
      <x:c r="A485" s="1" t="inlineStr">
        <x:is>
          <x:t xml:space="preserve">RESULT</x:t>
        </x:is>
      </x:c>
      <x:c r="B485" s="1" t="inlineStr">
        <x:is>
          <x:t xml:space="preserve">Round1</x:t>
        </x:is>
      </x:c>
      <x:c r="C485" s="1" t="inlineStr">
        <x:is>
          <x:t xml:space="preserve">JacksonDatabind_83</x:t>
        </x:is>
      </x:c>
      <x:c r="D485" s="1" t="inlineStr">
        <x:is>
          <x:t xml:space="preserve">INCONCLUSIVE</x:t>
        </x:is>
      </x:c>
      <x:c r="E485" s="5">
        <x:v>0.8197</x:v>
      </x:c>
      <x:c r="F485" s="4">
        <x:v>0</x:v>
      </x:c>
      <x:c r="G485" s="4">
        <x:v>33635</x:v>
      </x:c>
      <x:c r="H485" s="6">
        <x:v>167.25</x:v>
      </x:c>
      <x:c r="I485" s="16">
        <x:v>1</x:v>
      </x:c>
      <x:c r="J485">
        <x:v>122</x:v>
      </x:c>
      <x:c r="K485" s="4">
        <x:v>100</x:v>
      </x:c>
      <x:c r="L485" s="4">
        <x:v>88</x:v>
      </x:c>
      <x:c r="M485" s="4">
        <x:v>69</x:v>
      </x:c>
      <x:c r="N485" s="5">
        <x:v>0.7841</x:v>
      </x:c>
    </x:row>
    <x:row r="486" ht="24" customHeight="1">
      <x:c r="A486" s="1" t="inlineStr">
        <x:is>
          <x:t xml:space="preserve">RESULT</x:t>
        </x:is>
      </x:c>
      <x:c r="B486" s="1" t="inlineStr">
        <x:is>
          <x:t xml:space="preserve">Round1</x:t>
        </x:is>
      </x:c>
      <x:c r="C486" s="1" t="inlineStr">
        <x:is>
          <x:t xml:space="preserve">JacksonDatabind_84</x:t>
        </x:is>
      </x:c>
      <x:c r="D486" s="1" t="inlineStr">
        <x:is>
          <x:t xml:space="preserve">INCONCLUSIVE</x:t>
        </x:is>
      </x:c>
      <x:c r="E486" s="5">
        <x:v>0.9667</x:v>
      </x:c>
      <x:c r="F486" s="4">
        <x:v>0</x:v>
      </x:c>
      <x:c r="G486" s="4">
        <x:v>8105</x:v>
      </x:c>
      <x:c r="H486" s="6">
        <x:v>34.56</x:v>
      </x:c>
      <x:c r="I486" s="16">
        <x:v>1</x:v>
      </x:c>
      <x:c r="J486">
        <x:v>30</x:v>
      </x:c>
      <x:c r="K486" s="4">
        <x:v>29</x:v>
      </x:c>
      <x:c r="L486" s="4">
        <x:v>14</x:v>
      </x:c>
      <x:c r="M486" s="4">
        <x:v>14</x:v>
      </x:c>
      <x:c r="N486" s="5">
        <x:v>1.0</x:v>
      </x:c>
    </x:row>
    <x:row r="487" ht="24" customHeight="1">
      <x:c r="A487" s="1" t="inlineStr">
        <x:is>
          <x:t xml:space="preserve">RESULT</x:t>
        </x:is>
      </x:c>
      <x:c r="B487" s="1" t="inlineStr">
        <x:is>
          <x:t xml:space="preserve">Round1</x:t>
        </x:is>
      </x:c>
      <x:c r="C487" s="1" t="inlineStr">
        <x:is>
          <x:t xml:space="preserve">JacksonDatabind_85</x:t>
        </x:is>
      </x:c>
      <x:c r="D487" s="1" t="inlineStr">
        <x:is>
          <x:t xml:space="preserve">NOT_AVAILABLE</x:t>
        </x:is>
      </x:c>
      <x:c r="E487" s="5"/>
      <x:c r="F487" s="4">
        <x:v>0</x:v>
      </x:c>
      <x:c r="G487" s="4">
        <x:v>63432</x:v>
      </x:c>
      <x:c r="H487" s="6">
        <x:v>322.67</x:v>
      </x:c>
      <x:c r="I487" s="16">
        <x:v>1</x:v>
      </x:c>
      <x:c r="J487"/>
      <x:c r="K487" s="4"/>
      <x:c r="L487" s="4"/>
      <x:c r="M487" s="4"/>
      <x:c r="N487" s="5"/>
    </x:row>
    <x:row r="488" ht="24" customHeight="1">
      <x:c r="A488" s="1" t="inlineStr">
        <x:is>
          <x:t xml:space="preserve">RESULT</x:t>
        </x:is>
      </x:c>
      <x:c r="B488" s="1" t="inlineStr">
        <x:is>
          <x:t xml:space="preserve">Round1</x:t>
        </x:is>
      </x:c>
      <x:c r="C488" s="1" t="inlineStr">
        <x:is>
          <x:t xml:space="preserve">JacksonDatabind_86</x:t>
        </x:is>
      </x:c>
      <x:c r="D488" s="1" t="inlineStr">
        <x:is>
          <x:t xml:space="preserve">NOT_REVEALING</x:t>
        </x:is>
      </x:c>
      <x:c r="E488" s="5">
        <x:v>0.9667</x:v>
      </x:c>
      <x:c r="F488" s="4">
        <x:v>0</x:v>
      </x:c>
      <x:c r="G488" s="4">
        <x:v>17758</x:v>
      </x:c>
      <x:c r="H488" s="6">
        <x:v>93.82</x:v>
      </x:c>
      <x:c r="I488" s="16">
        <x:v>1</x:v>
      </x:c>
      <x:c r="J488">
        <x:v>30</x:v>
      </x:c>
      <x:c r="K488" s="4">
        <x:v>29</x:v>
      </x:c>
      <x:c r="L488" s="4">
        <x:v>14</x:v>
      </x:c>
      <x:c r="M488" s="4">
        <x:v>14</x:v>
      </x:c>
      <x:c r="N488" s="5">
        <x:v>1.0</x:v>
      </x:c>
    </x:row>
    <x:row r="489" ht="24" customHeight="1">
      <x:c r="A489" s="1" t="inlineStr">
        <x:is>
          <x:t xml:space="preserve">RESULT</x:t>
        </x:is>
      </x:c>
      <x:c r="B489" s="1" t="inlineStr">
        <x:is>
          <x:t xml:space="preserve">Round1</x:t>
        </x:is>
      </x:c>
      <x:c r="C489" s="1" t="inlineStr">
        <x:is>
          <x:t xml:space="preserve">JacksonDatabind_87</x:t>
        </x:is>
      </x:c>
      <x:c r="D489" s="1" t="inlineStr">
        <x:is>
          <x:t xml:space="preserve">NOT_REVEALING</x:t>
        </x:is>
      </x:c>
      <x:c r="E489" s="5">
        <x:v>0.8564</x:v>
      </x:c>
      <x:c r="F489" s="4">
        <x:v>0</x:v>
      </x:c>
      <x:c r="G489" s="4">
        <x:v>27198</x:v>
      </x:c>
      <x:c r="H489" s="6">
        <x:v>114.13</x:v>
      </x:c>
      <x:c r="I489" s="16">
        <x:v>1</x:v>
      </x:c>
      <x:c r="J489">
        <x:v>202</x:v>
      </x:c>
      <x:c r="K489" s="4">
        <x:v>173</x:v>
      </x:c>
      <x:c r="L489" s="4">
        <x:v>136</x:v>
      </x:c>
      <x:c r="M489" s="4">
        <x:v>89</x:v>
      </x:c>
      <x:c r="N489" s="5">
        <x:v>0.6544</x:v>
      </x:c>
    </x:row>
    <x:row r="490" ht="24" customHeight="1">
      <x:c r="A490" s="1" t="inlineStr">
        <x:is>
          <x:t xml:space="preserve">RESULT</x:t>
        </x:is>
      </x:c>
      <x:c r="B490" s="1" t="inlineStr">
        <x:is>
          <x:t xml:space="preserve">Round1</x:t>
        </x:is>
      </x:c>
      <x:c r="C490" s="1" t="inlineStr">
        <x:is>
          <x:t xml:space="preserve">JacksonDatabind_88</x:t>
        </x:is>
      </x:c>
      <x:c r="D490" s="1" t="inlineStr">
        <x:is>
          <x:t xml:space="preserve">NOT_AVAILABLE</x:t>
        </x:is>
      </x:c>
      <x:c r="E490" s="5"/>
      <x:c r="F490" s="4">
        <x:v>0</x:v>
      </x:c>
      <x:c r="G490" s="4">
        <x:v>43326</x:v>
      </x:c>
      <x:c r="H490" s="6">
        <x:v>218.07</x:v>
      </x:c>
      <x:c r="I490" s="16">
        <x:v>1</x:v>
      </x:c>
      <x:c r="J490"/>
      <x:c r="K490" s="4"/>
      <x:c r="L490" s="4"/>
      <x:c r="M490" s="4"/>
      <x:c r="N490" s="5"/>
    </x:row>
    <x:row r="491" ht="24" customHeight="1">
      <x:c r="A491" s="1" t="inlineStr">
        <x:is>
          <x:t xml:space="preserve">RESULT</x:t>
        </x:is>
      </x:c>
      <x:c r="B491" s="1" t="inlineStr">
        <x:is>
          <x:t xml:space="preserve">Round1</x:t>
        </x:is>
      </x:c>
      <x:c r="C491" s="1" t="inlineStr">
        <x:is>
          <x:t xml:space="preserve">JacksonDatabind_9</x:t>
        </x:is>
      </x:c>
      <x:c r="D491" s="1" t="inlineStr">
        <x:is>
          <x:t xml:space="preserve">INCONCLUSIVE</x:t>
        </x:is>
      </x:c>
      <x:c r="E491" s="5">
        <x:v>0.9</x:v>
      </x:c>
      <x:c r="F491" s="4">
        <x:v>0</x:v>
      </x:c>
      <x:c r="G491" s="4">
        <x:v>16352</x:v>
      </x:c>
      <x:c r="H491" s="6">
        <x:v>84.29</x:v>
      </x:c>
      <x:c r="I491" s="16">
        <x:v>1</x:v>
      </x:c>
      <x:c r="J491">
        <x:v>10</x:v>
      </x:c>
      <x:c r="K491" s="4">
        <x:v>9</x:v>
      </x:c>
      <x:c r="L491" s="4">
        <x:v>2</x:v>
      </x:c>
      <x:c r="M491" s="4">
        <x:v>2</x:v>
      </x:c>
      <x:c r="N491" s="5">
        <x:v>1.0</x:v>
      </x:c>
    </x:row>
    <x:row r="492" ht="24" customHeight="1">
      <x:c r="A492" s="1" t="inlineStr">
        <x:is>
          <x:t xml:space="preserve">RESULT</x:t>
        </x:is>
      </x:c>
      <x:c r="B492" s="1" t="inlineStr">
        <x:is>
          <x:t xml:space="preserve">Round1</x:t>
        </x:is>
      </x:c>
      <x:c r="C492" s="1" t="inlineStr">
        <x:is>
          <x:t xml:space="preserve">JacksonDatabind_90</x:t>
        </x:is>
      </x:c>
      <x:c r="D492" s="1" t="inlineStr">
        <x:is>
          <x:t xml:space="preserve">NOT_AVAILABLE</x:t>
        </x:is>
      </x:c>
      <x:c r="E492" s="5"/>
      <x:c r="F492" s="4">
        <x:v>0</x:v>
      </x:c>
      <x:c r="G492" s="4">
        <x:v>55257</x:v>
      </x:c>
      <x:c r="H492" s="6">
        <x:v>234.63</x:v>
      </x:c>
      <x:c r="I492" s="16">
        <x:v>1</x:v>
      </x:c>
      <x:c r="J492"/>
      <x:c r="K492" s="4"/>
      <x:c r="L492" s="4"/>
      <x:c r="M492" s="4"/>
      <x:c r="N492" s="5"/>
    </x:row>
    <x:row r="493" ht="24" customHeight="1">
      <x:c r="A493" s="1" t="inlineStr">
        <x:is>
          <x:t xml:space="preserve">RESULT</x:t>
        </x:is>
      </x:c>
      <x:c r="B493" s="1" t="inlineStr">
        <x:is>
          <x:t xml:space="preserve">Round1</x:t>
        </x:is>
      </x:c>
      <x:c r="C493" s="1" t="inlineStr">
        <x:is>
          <x:t xml:space="preserve">JacksonDatabind_91</x:t>
        </x:is>
      </x:c>
      <x:c r="D493" s="1" t="inlineStr">
        <x:is>
          <x:t xml:space="preserve">NOT_AVAILABLE</x:t>
        </x:is>
      </x:c>
      <x:c r="E493" s="5"/>
      <x:c r="F493" s="4">
        <x:v>0</x:v>
      </x:c>
      <x:c r="G493" s="4">
        <x:v>41754</x:v>
      </x:c>
      <x:c r="H493" s="6">
        <x:v>191.92</x:v>
      </x:c>
      <x:c r="I493" s="16">
        <x:v>1</x:v>
      </x:c>
      <x:c r="J493"/>
      <x:c r="K493" s="4"/>
      <x:c r="L493" s="4"/>
      <x:c r="M493" s="4"/>
      <x:c r="N493" s="5"/>
    </x:row>
    <x:row r="494" ht="24" customHeight="1">
      <x:c r="A494" s="1" t="inlineStr">
        <x:is>
          <x:t xml:space="preserve">RESULT</x:t>
        </x:is>
      </x:c>
      <x:c r="B494" s="1" t="inlineStr">
        <x:is>
          <x:t xml:space="preserve">Round1</x:t>
        </x:is>
      </x:c>
      <x:c r="C494" s="1" t="inlineStr">
        <x:is>
          <x:t xml:space="preserve">JacksonDatabind_92</x:t>
        </x:is>
      </x:c>
      <x:c r="D494" s="1" t="inlineStr">
        <x:is>
          <x:t xml:space="preserve">NOT_AVAILABLE</x:t>
        </x:is>
      </x:c>
      <x:c r="E494" s="5"/>
      <x:c r="F494" s="4">
        <x:v>0</x:v>
      </x:c>
      <x:c r="G494" s="4">
        <x:v>57366</x:v>
      </x:c>
      <x:c r="H494" s="6">
        <x:v>297.58</x:v>
      </x:c>
      <x:c r="I494" s="16">
        <x:v>1</x:v>
      </x:c>
      <x:c r="J494"/>
      <x:c r="K494" s="4"/>
      <x:c r="L494" s="4"/>
      <x:c r="M494" s="4"/>
      <x:c r="N494" s="5"/>
    </x:row>
    <x:row r="495" ht="24" customHeight="1">
      <x:c r="A495" s="1" t="inlineStr">
        <x:is>
          <x:t xml:space="preserve">RESULT</x:t>
        </x:is>
      </x:c>
      <x:c r="B495" s="1" t="inlineStr">
        <x:is>
          <x:t xml:space="preserve">Round1</x:t>
        </x:is>
      </x:c>
      <x:c r="C495" s="1" t="inlineStr">
        <x:is>
          <x:t xml:space="preserve">JacksonDatabind_93</x:t>
        </x:is>
      </x:c>
      <x:c r="D495" s="1" t="inlineStr">
        <x:is>
          <x:t xml:space="preserve">NOT_AVAILABLE</x:t>
        </x:is>
      </x:c>
      <x:c r="E495" s="5"/>
      <x:c r="F495" s="4">
        <x:v>0</x:v>
      </x:c>
      <x:c r="G495" s="4">
        <x:v>19662</x:v>
      </x:c>
      <x:c r="H495" s="6">
        <x:v>109.65</x:v>
      </x:c>
      <x:c r="I495" s="16">
        <x:v>1</x:v>
      </x:c>
      <x:c r="J495"/>
      <x:c r="K495" s="4"/>
      <x:c r="L495" s="4"/>
      <x:c r="M495" s="4"/>
      <x:c r="N495" s="5"/>
    </x:row>
    <x:row r="496" ht="24" customHeight="1">
      <x:c r="A496" s="1" t="inlineStr">
        <x:is>
          <x:t xml:space="preserve">RESULT</x:t>
        </x:is>
      </x:c>
      <x:c r="B496" s="1" t="inlineStr">
        <x:is>
          <x:t xml:space="preserve">Round1</x:t>
        </x:is>
      </x:c>
      <x:c r="C496" s="1" t="inlineStr">
        <x:is>
          <x:t xml:space="preserve">JacksonDatabind_94</x:t>
        </x:is>
      </x:c>
      <x:c r="D496" s="1" t="inlineStr">
        <x:is>
          <x:t xml:space="preserve">INCONCLUSIVE</x:t>
        </x:is>
      </x:c>
      <x:c r="E496" s="5">
        <x:v>0.8571</x:v>
      </x:c>
      <x:c r="F496" s="4">
        <x:v>0</x:v>
      </x:c>
      <x:c r="G496" s="4">
        <x:v>19933</x:v>
      </x:c>
      <x:c r="H496" s="6">
        <x:v>113.42</x:v>
      </x:c>
      <x:c r="I496" s="16">
        <x:v>1</x:v>
      </x:c>
      <x:c r="J496">
        <x:v>35</x:v>
      </x:c>
      <x:c r="K496" s="4">
        <x:v>30</x:v>
      </x:c>
      <x:c r="L496" s="4">
        <x:v>14</x:v>
      </x:c>
      <x:c r="M496" s="4">
        <x:v>5</x:v>
      </x:c>
      <x:c r="N496" s="5">
        <x:v>0.35710000000000003</x:v>
      </x:c>
    </x:row>
    <x:row r="497" ht="24" customHeight="1">
      <x:c r="A497" s="1" t="inlineStr">
        <x:is>
          <x:t xml:space="preserve">RESULT</x:t>
        </x:is>
      </x:c>
      <x:c r="B497" s="1" t="inlineStr">
        <x:is>
          <x:t xml:space="preserve">Round1</x:t>
        </x:is>
      </x:c>
      <x:c r="C497" s="1" t="inlineStr">
        <x:is>
          <x:t xml:space="preserve">JacksonDatabind_95</x:t>
        </x:is>
      </x:c>
      <x:c r="D497" s="1" t="inlineStr">
        <x:is>
          <x:t xml:space="preserve">NOT_AVAILABLE</x:t>
        </x:is>
      </x:c>
      <x:c r="E497" s="5"/>
      <x:c r="F497" s="4">
        <x:v>0</x:v>
      </x:c>
      <x:c r="G497" s="4">
        <x:v>51009</x:v>
      </x:c>
      <x:c r="H497" s="6">
        <x:v>246.08</x:v>
      </x:c>
      <x:c r="I497" s="16">
        <x:v>1</x:v>
      </x:c>
      <x:c r="J497"/>
      <x:c r="K497" s="4"/>
      <x:c r="L497" s="4"/>
      <x:c r="M497" s="4"/>
      <x:c r="N497" s="5"/>
    </x:row>
    <x:row r="498" ht="24" customHeight="1">
      <x:c r="A498" s="1" t="inlineStr">
        <x:is>
          <x:t xml:space="preserve">RESULT</x:t>
        </x:is>
      </x:c>
      <x:c r="B498" s="1" t="inlineStr">
        <x:is>
          <x:t xml:space="preserve">Round1</x:t>
        </x:is>
      </x:c>
      <x:c r="C498" s="1" t="inlineStr">
        <x:is>
          <x:t xml:space="preserve">JacksonDatabind_96</x:t>
        </x:is>
      </x:c>
      <x:c r="D498" s="1" t="inlineStr">
        <x:is>
          <x:t xml:space="preserve">NOT_AVAILABLE</x:t>
        </x:is>
      </x:c>
      <x:c r="E498" s="5"/>
      <x:c r="F498" s="4">
        <x:v>0</x:v>
      </x:c>
      <x:c r="G498" s="4">
        <x:v>52149</x:v>
      </x:c>
      <x:c r="H498" s="6">
        <x:v>192.69</x:v>
      </x:c>
      <x:c r="I498" s="16">
        <x:v>1</x:v>
      </x:c>
      <x:c r="J498"/>
      <x:c r="K498" s="4"/>
      <x:c r="L498" s="4"/>
      <x:c r="M498" s="4"/>
      <x:c r="N498" s="5"/>
    </x:row>
    <x:row r="499" ht="24" customHeight="1">
      <x:c r="A499" s="1" t="inlineStr">
        <x:is>
          <x:t xml:space="preserve">RESULT</x:t>
        </x:is>
      </x:c>
      <x:c r="B499" s="1" t="inlineStr">
        <x:is>
          <x:t xml:space="preserve">Round1</x:t>
        </x:is>
      </x:c>
      <x:c r="C499" s="1" t="inlineStr">
        <x:is>
          <x:t xml:space="preserve">JacksonDatabind_97</x:t>
        </x:is>
      </x:c>
      <x:c r="D499" s="1" t="inlineStr">
        <x:is>
          <x:t xml:space="preserve">NOT_AVAILABLE</x:t>
        </x:is>
      </x:c>
      <x:c r="E499" s="5"/>
      <x:c r="F499" s="4">
        <x:v>0</x:v>
      </x:c>
      <x:c r="G499" s="4">
        <x:v>15148</x:v>
      </x:c>
      <x:c r="H499" s="6">
        <x:v>67.22</x:v>
      </x:c>
      <x:c r="I499" s="16">
        <x:v>1</x:v>
      </x:c>
      <x:c r="J499"/>
      <x:c r="K499" s="4"/>
      <x:c r="L499" s="4"/>
      <x:c r="M499" s="4"/>
      <x:c r="N499" s="5"/>
    </x:row>
    <x:row r="500" ht="24" customHeight="1">
      <x:c r="A500" s="1" t="inlineStr">
        <x:is>
          <x:t xml:space="preserve">RESULT</x:t>
        </x:is>
      </x:c>
      <x:c r="B500" s="1" t="inlineStr">
        <x:is>
          <x:t xml:space="preserve">Round1</x:t>
        </x:is>
      </x:c>
      <x:c r="C500" s="1" t="inlineStr">
        <x:is>
          <x:t xml:space="preserve">JacksonDatabind_98</x:t>
        </x:is>
      </x:c>
      <x:c r="D500" s="1" t="inlineStr">
        <x:is>
          <x:t xml:space="preserve">NOT_AVAILABLE</x:t>
        </x:is>
      </x:c>
      <x:c r="E500" s="5"/>
      <x:c r="F500" s="4">
        <x:v>0</x:v>
      </x:c>
      <x:c r="G500" s="4">
        <x:v>43871</x:v>
      </x:c>
      <x:c r="H500" s="6">
        <x:v>191.78</x:v>
      </x:c>
      <x:c r="I500" s="16">
        <x:v>1</x:v>
      </x:c>
      <x:c r="J500"/>
      <x:c r="K500" s="4"/>
      <x:c r="L500" s="4"/>
      <x:c r="M500" s="4"/>
      <x:c r="N500" s="5"/>
    </x:row>
    <x:row r="501" ht="24" customHeight="1">
      <x:c r="A501" s="1" t="inlineStr">
        <x:is>
          <x:t xml:space="preserve">RESULT</x:t>
        </x:is>
      </x:c>
      <x:c r="B501" s="1" t="inlineStr">
        <x:is>
          <x:t xml:space="preserve">Round1</x:t>
        </x:is>
      </x:c>
      <x:c r="C501" s="1" t="inlineStr">
        <x:is>
          <x:t xml:space="preserve">JacksonDatabind_99</x:t>
        </x:is>
      </x:c>
      <x:c r="D501" s="1" t="inlineStr">
        <x:is>
          <x:t xml:space="preserve">NOT_AVAILABLE</x:t>
        </x:is>
      </x:c>
      <x:c r="E501" s="5"/>
      <x:c r="F501" s="4">
        <x:v>0</x:v>
      </x:c>
      <x:c r="G501" s="4">
        <x:v>53726</x:v>
      </x:c>
      <x:c r="H501" s="6">
        <x:v>274.4</x:v>
      </x:c>
      <x:c r="I501" s="16">
        <x:v>1</x:v>
      </x:c>
      <x:c r="J501"/>
      <x:c r="K501" s="4"/>
      <x:c r="L501" s="4"/>
      <x:c r="M501" s="4"/>
      <x:c r="N501" s="5"/>
    </x:row>
    <x:row r="502" ht="24" customHeight="1">
      <x:c r="A502" s="1" t="inlineStr">
        <x:is>
          <x:t xml:space="preserve">RESULT</x:t>
        </x:is>
      </x:c>
      <x:c r="B502" s="1" t="inlineStr">
        <x:is>
          <x:t xml:space="preserve">Round1</x:t>
        </x:is>
      </x:c>
      <x:c r="C502" s="1" t="inlineStr">
        <x:is>
          <x:t xml:space="preserve">JacksonXml_1</x:t>
        </x:is>
      </x:c>
      <x:c r="D502" s="1" t="inlineStr">
        <x:is>
          <x:t xml:space="preserve">NOT_AVAILABLE</x:t>
        </x:is>
      </x:c>
      <x:c r="E502" s="5"/>
      <x:c r="F502" s="4">
        <x:v>0</x:v>
      </x:c>
      <x:c r="G502" s="4">
        <x:v>8470</x:v>
      </x:c>
      <x:c r="H502" s="6">
        <x:v>125.19</x:v>
      </x:c>
      <x:c r="I502" s="16">
        <x:v>1</x:v>
      </x:c>
      <x:c r="J502"/>
      <x:c r="K502" s="4"/>
      <x:c r="L502" s="4"/>
      <x:c r="M502" s="4"/>
      <x:c r="N502" s="5"/>
    </x:row>
    <x:row r="503" ht="24" customHeight="1">
      <x:c r="A503" s="1" t="inlineStr">
        <x:is>
          <x:t xml:space="preserve">RESULT</x:t>
        </x:is>
      </x:c>
      <x:c r="B503" s="1" t="inlineStr">
        <x:is>
          <x:t xml:space="preserve">Round1</x:t>
        </x:is>
      </x:c>
      <x:c r="C503" s="1" t="inlineStr">
        <x:is>
          <x:t xml:space="preserve">JacksonXml_2</x:t>
        </x:is>
      </x:c>
      <x:c r="D503" s="1" t="inlineStr">
        <x:is>
          <x:t xml:space="preserve">NOT_AVAILABLE</x:t>
        </x:is>
      </x:c>
      <x:c r="E503" s="5"/>
      <x:c r="F503" s="4">
        <x:v>0</x:v>
      </x:c>
      <x:c r="G503" s="4">
        <x:v>8214</x:v>
      </x:c>
      <x:c r="H503" s="6">
        <x:v>115.22</x:v>
      </x:c>
      <x:c r="I503" s="16">
        <x:v>1</x:v>
      </x:c>
      <x:c r="J503"/>
      <x:c r="K503" s="4"/>
      <x:c r="L503" s="4"/>
      <x:c r="M503" s="4"/>
      <x:c r="N503" s="5"/>
    </x:row>
    <x:row r="504" ht="24" customHeight="1">
      <x:c r="A504" s="1" t="inlineStr">
        <x:is>
          <x:t xml:space="preserve">RESULT</x:t>
        </x:is>
      </x:c>
      <x:c r="B504" s="1" t="inlineStr">
        <x:is>
          <x:t xml:space="preserve">Round1</x:t>
        </x:is>
      </x:c>
      <x:c r="C504" s="1" t="inlineStr">
        <x:is>
          <x:t xml:space="preserve">JacksonXml_3</x:t>
        </x:is>
      </x:c>
      <x:c r="D504" s="1" t="inlineStr">
        <x:is>
          <x:t xml:space="preserve">NOT_AVAILABLE</x:t>
        </x:is>
      </x:c>
      <x:c r="E504" s="5"/>
      <x:c r="F504" s="4">
        <x:v>0</x:v>
      </x:c>
      <x:c r="G504" s="4">
        <x:v>9654</x:v>
      </x:c>
      <x:c r="H504" s="6">
        <x:v>162.73</x:v>
      </x:c>
      <x:c r="I504" s="16">
        <x:v>1</x:v>
      </x:c>
      <x:c r="J504"/>
      <x:c r="K504" s="4"/>
      <x:c r="L504" s="4"/>
      <x:c r="M504" s="4"/>
      <x:c r="N504" s="5"/>
    </x:row>
    <x:row r="505" ht="24" customHeight="1">
      <x:c r="A505" s="1" t="inlineStr">
        <x:is>
          <x:t xml:space="preserve">RESULT</x:t>
        </x:is>
      </x:c>
      <x:c r="B505" s="1" t="inlineStr">
        <x:is>
          <x:t xml:space="preserve">Round1</x:t>
        </x:is>
      </x:c>
      <x:c r="C505" s="1" t="inlineStr">
        <x:is>
          <x:t xml:space="preserve">JacksonXml_4</x:t>
        </x:is>
      </x:c>
      <x:c r="D505" s="1" t="inlineStr">
        <x:is>
          <x:t xml:space="preserve">NOT_AVAILABLE</x:t>
        </x:is>
      </x:c>
      <x:c r="E505" s="5"/>
      <x:c r="F505" s="4">
        <x:v>0</x:v>
      </x:c>
      <x:c r="G505" s="4">
        <x:v>7116</x:v>
      </x:c>
      <x:c r="H505" s="6">
        <x:v>124.81</x:v>
      </x:c>
      <x:c r="I505" s="16">
        <x:v>1</x:v>
      </x:c>
      <x:c r="J505"/>
      <x:c r="K505" s="4"/>
      <x:c r="L505" s="4"/>
      <x:c r="M505" s="4"/>
      <x:c r="N505" s="5"/>
    </x:row>
    <x:row r="506" ht="24" customHeight="1">
      <x:c r="A506" s="1" t="inlineStr">
        <x:is>
          <x:t xml:space="preserve">RESULT</x:t>
        </x:is>
      </x:c>
      <x:c r="B506" s="1" t="inlineStr">
        <x:is>
          <x:t xml:space="preserve">Round1</x:t>
        </x:is>
      </x:c>
      <x:c r="C506" s="1" t="inlineStr">
        <x:is>
          <x:t xml:space="preserve">JacksonXml_5</x:t>
        </x:is>
      </x:c>
      <x:c r="D506" s="1" t="inlineStr">
        <x:is>
          <x:t xml:space="preserve">NOT_AVAILABLE</x:t>
        </x:is>
      </x:c>
      <x:c r="E506" s="5"/>
      <x:c r="F506" s="4">
        <x:v>0</x:v>
      </x:c>
      <x:c r="G506" s="4">
        <x:v>6810</x:v>
      </x:c>
      <x:c r="H506" s="6">
        <x:v>115.64</x:v>
      </x:c>
      <x:c r="I506" s="16">
        <x:v>1</x:v>
      </x:c>
      <x:c r="J506"/>
      <x:c r="K506" s="4"/>
      <x:c r="L506" s="4"/>
      <x:c r="M506" s="4"/>
      <x:c r="N506" s="5"/>
    </x:row>
    <x:row r="507" ht="24" customHeight="1">
      <x:c r="A507" s="1" t="inlineStr">
        <x:is>
          <x:t xml:space="preserve">RESULT</x:t>
        </x:is>
      </x:c>
      <x:c r="B507" s="1" t="inlineStr">
        <x:is>
          <x:t xml:space="preserve">Round1</x:t>
        </x:is>
      </x:c>
      <x:c r="C507" s="1" t="inlineStr">
        <x:is>
          <x:t xml:space="preserve">JacksonXml_6</x:t>
        </x:is>
      </x:c>
      <x:c r="D507" s="1" t="inlineStr">
        <x:is>
          <x:t xml:space="preserve">NOT_AVAILABLE</x:t>
        </x:is>
      </x:c>
      <x:c r="E507" s="5"/>
      <x:c r="F507" s="4">
        <x:v>0</x:v>
      </x:c>
      <x:c r="G507" s="4">
        <x:v>12771</x:v>
      </x:c>
      <x:c r="H507" s="6">
        <x:v>150.9</x:v>
      </x:c>
      <x:c r="I507" s="16">
        <x:v>1</x:v>
      </x:c>
      <x:c r="J507"/>
      <x:c r="K507" s="4"/>
      <x:c r="L507" s="4"/>
      <x:c r="M507" s="4"/>
      <x:c r="N507" s="5"/>
    </x:row>
    <x:row r="508" ht="24" customHeight="1">
      <x:c r="A508" s="1" t="inlineStr">
        <x:is>
          <x:t xml:space="preserve">RESULT</x:t>
        </x:is>
      </x:c>
      <x:c r="B508" s="1" t="inlineStr">
        <x:is>
          <x:t xml:space="preserve">Round1</x:t>
        </x:is>
      </x:c>
      <x:c r="C508" s="1" t="inlineStr">
        <x:is>
          <x:t xml:space="preserve">Jsoup_1</x:t>
        </x:is>
      </x:c>
      <x:c r="D508" s="1" t="inlineStr">
        <x:is>
          <x:t xml:space="preserve">INCONCLUSIVE</x:t>
        </x:is>
      </x:c>
      <x:c r="E508" s="5">
        <x:v>0.9783</x:v>
      </x:c>
      <x:c r="F508" s="4">
        <x:v>0</x:v>
      </x:c>
      <x:c r="G508" s="4">
        <x:v>3538</x:v>
      </x:c>
      <x:c r="H508" s="6">
        <x:v>45.8</x:v>
      </x:c>
      <x:c r="I508" s="16">
        <x:v>1</x:v>
      </x:c>
      <x:c r="J508">
        <x:v>46</x:v>
      </x:c>
      <x:c r="K508" s="4">
        <x:v>45</x:v>
      </x:c>
      <x:c r="L508" s="4">
        <x:v>18</x:v>
      </x:c>
      <x:c r="M508" s="4">
        <x:v>17</x:v>
      </x:c>
      <x:c r="N508" s="5">
        <x:v>0.9444</x:v>
      </x:c>
    </x:row>
    <x:row r="509" ht="24" customHeight="1">
      <x:c r="A509" s="1" t="inlineStr">
        <x:is>
          <x:t xml:space="preserve">RESULT</x:t>
        </x:is>
      </x:c>
      <x:c r="B509" s="1" t="inlineStr">
        <x:is>
          <x:t xml:space="preserve">Round1</x:t>
        </x:is>
      </x:c>
      <x:c r="C509" s="1" t="inlineStr">
        <x:is>
          <x:t xml:space="preserve">Jsoup_10</x:t>
        </x:is>
      </x:c>
      <x:c r="D509" s="1" t="inlineStr">
        <x:is>
          <x:t xml:space="preserve">NOT_AVAILABLE</x:t>
        </x:is>
      </x:c>
      <x:c r="E509" s="5"/>
      <x:c r="F509" s="4">
        <x:v>0</x:v>
      </x:c>
      <x:c r="G509" s="4">
        <x:v>6827</x:v>
      </x:c>
      <x:c r="H509" s="6">
        <x:v>67.1</x:v>
      </x:c>
      <x:c r="I509" s="16">
        <x:v>1</x:v>
      </x:c>
      <x:c r="J509"/>
      <x:c r="K509" s="4"/>
      <x:c r="L509" s="4"/>
      <x:c r="M509" s="4"/>
      <x:c r="N509" s="5"/>
    </x:row>
    <x:row r="510" ht="24" customHeight="1">
      <x:c r="A510" s="1" t="inlineStr">
        <x:is>
          <x:t xml:space="preserve">RESULT</x:t>
        </x:is>
      </x:c>
      <x:c r="B510" s="1" t="inlineStr">
        <x:is>
          <x:t xml:space="preserve">Round1</x:t>
        </x:is>
      </x:c>
      <x:c r="C510" s="1" t="inlineStr">
        <x:is>
          <x:t xml:space="preserve">Jsoup_11</x:t>
        </x:is>
      </x:c>
      <x:c r="D510" s="1" t="inlineStr">
        <x:is>
          <x:t xml:space="preserve">INCONCLUSIVE</x:t>
        </x:is>
      </x:c>
      <x:c r="E510" s="5">
        <x:v>0.8131</x:v>
      </x:c>
      <x:c r="F510" s="4">
        <x:v>0</x:v>
      </x:c>
      <x:c r="G510" s="4">
        <x:v>7997</x:v>
      </x:c>
      <x:c r="H510" s="6">
        <x:v>63.54</x:v>
      </x:c>
      <x:c r="I510" s="16">
        <x:v>1</x:v>
      </x:c>
      <x:c r="J510">
        <x:v>198</x:v>
      </x:c>
      <x:c r="K510" s="4">
        <x:v>161</x:v>
      </x:c>
      <x:c r="L510" s="4">
        <x:v>120</x:v>
      </x:c>
      <x:c r="M510" s="4">
        <x:v>83</x:v>
      </x:c>
      <x:c r="N510" s="5">
        <x:v>0.6917</x:v>
      </x:c>
    </x:row>
    <x:row r="511" ht="24" customHeight="1">
      <x:c r="A511" s="1" t="inlineStr">
        <x:is>
          <x:t xml:space="preserve">RESULT</x:t>
        </x:is>
      </x:c>
      <x:c r="B511" s="1" t="inlineStr">
        <x:is>
          <x:t xml:space="preserve">Round1</x:t>
        </x:is>
      </x:c>
      <x:c r="C511" s="1" t="inlineStr">
        <x:is>
          <x:t xml:space="preserve">Jsoup_12</x:t>
        </x:is>
      </x:c>
      <x:c r="D511" s="1" t="inlineStr">
        <x:is>
          <x:t xml:space="preserve">INCONCLUSIVE</x:t>
        </x:is>
      </x:c>
      <x:c r="E511" s="5">
        <x:v>0.9495</x:v>
      </x:c>
      <x:c r="F511" s="4">
        <x:v>0</x:v>
      </x:c>
      <x:c r="G511" s="4">
        <x:v>8769</x:v>
      </x:c>
      <x:c r="H511" s="6">
        <x:v>81.98</x:v>
      </x:c>
      <x:c r="I511" s="16">
        <x:v>1</x:v>
      </x:c>
      <x:c r="J511">
        <x:v>218</x:v>
      </x:c>
      <x:c r="K511" s="4">
        <x:v>207</x:v>
      </x:c>
      <x:c r="L511" s="4">
        <x:v>132</x:v>
      </x:c>
      <x:c r="M511" s="4">
        <x:v>118</x:v>
      </x:c>
      <x:c r="N511" s="5">
        <x:v>0.8939</x:v>
      </x:c>
    </x:row>
    <x:row r="512" ht="24" customHeight="1">
      <x:c r="A512" s="1" t="inlineStr">
        <x:is>
          <x:t xml:space="preserve">RESULT</x:t>
        </x:is>
      </x:c>
      <x:c r="B512" s="1" t="inlineStr">
        <x:is>
          <x:t xml:space="preserve">Round1</x:t>
        </x:is>
      </x:c>
      <x:c r="C512" s="1" t="inlineStr">
        <x:is>
          <x:t xml:space="preserve">Jsoup_13</x:t>
        </x:is>
      </x:c>
      <x:c r="D512" s="1" t="inlineStr">
        <x:is>
          <x:t xml:space="preserve">NOT_AVAILABLE</x:t>
        </x:is>
      </x:c>
      <x:c r="E512" s="5"/>
      <x:c r="F512" s="4">
        <x:v>0</x:v>
      </x:c>
      <x:c r="G512" s="4">
        <x:v>7694</x:v>
      </x:c>
      <x:c r="H512" s="6">
        <x:v>70.35</x:v>
      </x:c>
      <x:c r="I512" s="16">
        <x:v>1</x:v>
      </x:c>
      <x:c r="J512"/>
      <x:c r="K512" s="4"/>
      <x:c r="L512" s="4"/>
      <x:c r="M512" s="4"/>
      <x:c r="N512" s="5"/>
    </x:row>
    <x:row r="513" ht="24" customHeight="1">
      <x:c r="A513" s="1" t="inlineStr">
        <x:is>
          <x:t xml:space="preserve">RESULT</x:t>
        </x:is>
      </x:c>
      <x:c r="B513" s="1" t="inlineStr">
        <x:is>
          <x:t xml:space="preserve">Round1</x:t>
        </x:is>
      </x:c>
      <x:c r="C513" s="1" t="inlineStr">
        <x:is>
          <x:t xml:space="preserve">Jsoup_14</x:t>
        </x:is>
      </x:c>
      <x:c r="D513" s="1" t="inlineStr">
        <x:is>
          <x:t xml:space="preserve">NOT_AVAILABLE</x:t>
        </x:is>
      </x:c>
      <x:c r="E513" s="5"/>
      <x:c r="F513" s="4">
        <x:v>0</x:v>
      </x:c>
      <x:c r="G513" s="4">
        <x:v>26339</x:v>
      </x:c>
      <x:c r="H513" s="6">
        <x:v>426.47</x:v>
      </x:c>
      <x:c r="I513" s="16">
        <x:v>1</x:v>
      </x:c>
      <x:c r="J513"/>
      <x:c r="K513" s="4"/>
      <x:c r="L513" s="4"/>
      <x:c r="M513" s="4"/>
      <x:c r="N513" s="5"/>
    </x:row>
    <x:row r="514" ht="24" customHeight="1">
      <x:c r="A514" s="1" t="inlineStr">
        <x:is>
          <x:t xml:space="preserve">RESULT</x:t>
        </x:is>
      </x:c>
      <x:c r="B514" s="1" t="inlineStr">
        <x:is>
          <x:t xml:space="preserve">Round1</x:t>
        </x:is>
      </x:c>
      <x:c r="C514" s="1" t="inlineStr">
        <x:is>
          <x:t xml:space="preserve">Jsoup_15</x:t>
        </x:is>
      </x:c>
      <x:c r="D514" s="1" t="inlineStr">
        <x:is>
          <x:t xml:space="preserve">NOT_AVAILABLE</x:t>
        </x:is>
      </x:c>
      <x:c r="E514" s="5"/>
      <x:c r="F514" s="4">
        <x:v>0</x:v>
      </x:c>
      <x:c r="G514" s="4">
        <x:v>20551</x:v>
      </x:c>
      <x:c r="H514" s="6">
        <x:v>309.39</x:v>
      </x:c>
      <x:c r="I514" s="16">
        <x:v>1</x:v>
      </x:c>
      <x:c r="J514"/>
      <x:c r="K514" s="4"/>
      <x:c r="L514" s="4"/>
      <x:c r="M514" s="4"/>
      <x:c r="N514" s="5"/>
    </x:row>
    <x:row r="515" ht="24" customHeight="1">
      <x:c r="A515" s="1" t="inlineStr">
        <x:is>
          <x:t xml:space="preserve">RESULT</x:t>
        </x:is>
      </x:c>
      <x:c r="B515" s="1" t="inlineStr">
        <x:is>
          <x:t xml:space="preserve">Round1</x:t>
        </x:is>
      </x:c>
      <x:c r="C515" s="1" t="inlineStr">
        <x:is>
          <x:t xml:space="preserve">Jsoup_16</x:t>
        </x:is>
      </x:c>
      <x:c r="D515" s="1" t="inlineStr">
        <x:is>
          <x:t xml:space="preserve">INCONCLUSIVE</x:t>
        </x:is>
      </x:c>
      <x:c r="E515" s="5">
        <x:v>1.0</x:v>
      </x:c>
      <x:c r="F515" s="4">
        <x:v>0</x:v>
      </x:c>
      <x:c r="G515" s="4">
        <x:v>2174</x:v>
      </x:c>
      <x:c r="H515" s="6">
        <x:v>32.86</x:v>
      </x:c>
      <x:c r="I515" s="16">
        <x:v>1</x:v>
      </x:c>
      <x:c r="J515">
        <x:v>14</x:v>
      </x:c>
      <x:c r="K515" s="4">
        <x:v>14</x:v>
      </x:c>
      <x:c r="L515" s="4">
        <x:v>4</x:v>
      </x:c>
      <x:c r="M515" s="4">
        <x:v>4</x:v>
      </x:c>
      <x:c r="N515" s="5">
        <x:v>1.0</x:v>
      </x:c>
    </x:row>
    <x:row r="516" ht="24" customHeight="1">
      <x:c r="A516" s="1" t="inlineStr">
        <x:is>
          <x:t xml:space="preserve">RESULT</x:t>
        </x:is>
      </x:c>
      <x:c r="B516" s="1" t="inlineStr">
        <x:is>
          <x:t xml:space="preserve">Round1</x:t>
        </x:is>
      </x:c>
      <x:c r="C516" s="1" t="inlineStr">
        <x:is>
          <x:t xml:space="preserve">Jsoup_17</x:t>
        </x:is>
      </x:c>
      <x:c r="D516" s="1" t="inlineStr">
        <x:is>
          <x:t xml:space="preserve">NOT_AVAILABLE</x:t>
        </x:is>
      </x:c>
      <x:c r="E516" s="5"/>
      <x:c r="F516" s="4">
        <x:v>0</x:v>
      </x:c>
      <x:c r="G516" s="4">
        <x:v>23849</x:v>
      </x:c>
      <x:c r="H516" s="6">
        <x:v>433.74</x:v>
      </x:c>
      <x:c r="I516" s="16">
        <x:v>1</x:v>
      </x:c>
      <x:c r="J516"/>
      <x:c r="K516" s="4"/>
      <x:c r="L516" s="4"/>
      <x:c r="M516" s="4"/>
      <x:c r="N516" s="5"/>
    </x:row>
    <x:row r="517" ht="24" customHeight="1">
      <x:c r="A517" s="1" t="inlineStr">
        <x:is>
          <x:t xml:space="preserve">RESULT</x:t>
        </x:is>
      </x:c>
      <x:c r="B517" s="1" t="inlineStr">
        <x:is>
          <x:t xml:space="preserve">Round1</x:t>
        </x:is>
      </x:c>
      <x:c r="C517" s="1" t="inlineStr">
        <x:is>
          <x:t xml:space="preserve">Jsoup_18</x:t>
        </x:is>
      </x:c>
      <x:c r="D517" s="1" t="inlineStr">
        <x:is>
          <x:t xml:space="preserve">INCONCLUSIVE</x:t>
        </x:is>
      </x:c>
      <x:c r="E517" s="5">
        <x:v>0.9897</x:v>
      </x:c>
      <x:c r="F517" s="4">
        <x:v>0</x:v>
      </x:c>
      <x:c r="G517" s="4">
        <x:v>6423</x:v>
      </x:c>
      <x:c r="H517" s="6">
        <x:v>162.23</x:v>
      </x:c>
      <x:c r="I517" s="16">
        <x:v>1</x:v>
      </x:c>
      <x:c r="J517">
        <x:v>97</x:v>
      </x:c>
      <x:c r="K517" s="4">
        <x:v>96</x:v>
      </x:c>
      <x:c r="L517" s="4">
        <x:v>82</x:v>
      </x:c>
      <x:c r="M517" s="4">
        <x:v>68</x:v>
      </x:c>
      <x:c r="N517" s="5">
        <x:v>0.8293</x:v>
      </x:c>
    </x:row>
    <x:row r="518" ht="24" customHeight="1">
      <x:c r="A518" s="1" t="inlineStr">
        <x:is>
          <x:t xml:space="preserve">RESULT</x:t>
        </x:is>
      </x:c>
      <x:c r="B518" s="1" t="inlineStr">
        <x:is>
          <x:t xml:space="preserve">Round1</x:t>
        </x:is>
      </x:c>
      <x:c r="C518" s="1" t="inlineStr">
        <x:is>
          <x:t xml:space="preserve">Jsoup_19</x:t>
        </x:is>
      </x:c>
      <x:c r="D518" s="1" t="inlineStr">
        <x:is>
          <x:t xml:space="preserve">NOT_AVAILABLE</x:t>
        </x:is>
      </x:c>
      <x:c r="E518" s="5"/>
      <x:c r="F518" s="4">
        <x:v>0</x:v>
      </x:c>
      <x:c r="G518" s="4">
        <x:v>7897</x:v>
      </x:c>
      <x:c r="H518" s="6">
        <x:v>106.12</x:v>
      </x:c>
      <x:c r="I518" s="16">
        <x:v>1</x:v>
      </x:c>
      <x:c r="J518"/>
      <x:c r="K518" s="4"/>
      <x:c r="L518" s="4"/>
      <x:c r="M518" s="4"/>
      <x:c r="N518" s="5"/>
    </x:row>
    <x:row r="519" ht="24" customHeight="1">
      <x:c r="A519" s="1" t="inlineStr">
        <x:is>
          <x:t xml:space="preserve">RESULT</x:t>
        </x:is>
      </x:c>
      <x:c r="B519" s="1" t="inlineStr">
        <x:is>
          <x:t xml:space="preserve">Round1</x:t>
        </x:is>
      </x:c>
      <x:c r="C519" s="1" t="inlineStr">
        <x:is>
          <x:t xml:space="preserve">Jsoup_2</x:t>
        </x:is>
      </x:c>
      <x:c r="D519" s="1" t="inlineStr">
        <x:is>
          <x:t xml:space="preserve">NOT_AVAILABLE</x:t>
        </x:is>
      </x:c>
      <x:c r="E519" s="5"/>
      <x:c r="F519" s="4">
        <x:v>0</x:v>
      </x:c>
      <x:c r="G519" s="4">
        <x:v>5001</x:v>
      </x:c>
      <x:c r="H519" s="6">
        <x:v>61.33</x:v>
      </x:c>
      <x:c r="I519" s="16">
        <x:v>1</x:v>
      </x:c>
      <x:c r="J519"/>
      <x:c r="K519" s="4"/>
      <x:c r="L519" s="4"/>
      <x:c r="M519" s="4"/>
      <x:c r="N519" s="5"/>
    </x:row>
    <x:row r="520" ht="24" customHeight="1">
      <x:c r="A520" s="1" t="inlineStr">
        <x:is>
          <x:t xml:space="preserve">RESULT</x:t>
        </x:is>
      </x:c>
      <x:c r="B520" s="1" t="inlineStr">
        <x:is>
          <x:t xml:space="preserve">Round1</x:t>
        </x:is>
      </x:c>
      <x:c r="C520" s="1" t="inlineStr">
        <x:is>
          <x:t xml:space="preserve">Jsoup_20</x:t>
        </x:is>
      </x:c>
      <x:c r="D520" s="1" t="inlineStr">
        <x:is>
          <x:t xml:space="preserve">INCONCLUSIVE</x:t>
        </x:is>
      </x:c>
      <x:c r="E520" s="5">
        <x:v>0.9773000000000001</x:v>
      </x:c>
      <x:c r="F520" s="4">
        <x:v>0</x:v>
      </x:c>
      <x:c r="G520" s="4">
        <x:v>5135</x:v>
      </x:c>
      <x:c r="H520" s="6">
        <x:v>102.29</x:v>
      </x:c>
      <x:c r="I520" s="16">
        <x:v>1</x:v>
      </x:c>
      <x:c r="J520">
        <x:v>44</x:v>
      </x:c>
      <x:c r="K520" s="4">
        <x:v>43</x:v>
      </x:c>
      <x:c r="L520" s="4">
        <x:v>22</x:v>
      </x:c>
      <x:c r="M520" s="4">
        <x:v>19</x:v>
      </x:c>
      <x:c r="N520" s="5">
        <x:v>0.8636</x:v>
      </x:c>
    </x:row>
    <x:row r="521" ht="24" customHeight="1">
      <x:c r="A521" s="1" t="inlineStr">
        <x:is>
          <x:t xml:space="preserve">RESULT</x:t>
        </x:is>
      </x:c>
      <x:c r="B521" s="1" t="inlineStr">
        <x:is>
          <x:t xml:space="preserve">Round1</x:t>
        </x:is>
      </x:c>
      <x:c r="C521" s="1" t="inlineStr">
        <x:is>
          <x:t xml:space="preserve">Jsoup_21</x:t>
        </x:is>
      </x:c>
      <x:c r="D521" s="1" t="inlineStr">
        <x:is>
          <x:t xml:space="preserve">NOT_AVAILABLE</x:t>
        </x:is>
      </x:c>
      <x:c r="E521" s="5"/>
      <x:c r="F521" s="4">
        <x:v>0</x:v>
      </x:c>
      <x:c r="G521" s="4">
        <x:v>8028</x:v>
      </x:c>
      <x:c r="H521" s="6">
        <x:v>113.0</x:v>
      </x:c>
      <x:c r="I521" s="16">
        <x:v>1</x:v>
      </x:c>
      <x:c r="J521"/>
      <x:c r="K521" s="4"/>
      <x:c r="L521" s="4"/>
      <x:c r="M521" s="4"/>
      <x:c r="N521" s="5"/>
    </x:row>
    <x:row r="522" ht="24" customHeight="1">
      <x:c r="A522" s="1" t="inlineStr">
        <x:is>
          <x:t xml:space="preserve">RESULT</x:t>
        </x:is>
      </x:c>
      <x:c r="B522" s="1" t="inlineStr">
        <x:is>
          <x:t xml:space="preserve">Round1</x:t>
        </x:is>
      </x:c>
      <x:c r="C522" s="1" t="inlineStr">
        <x:is>
          <x:t xml:space="preserve">Jsoup_22</x:t>
        </x:is>
      </x:c>
      <x:c r="D522" s="1" t="inlineStr">
        <x:is>
          <x:t xml:space="preserve">NOT_AVAILABLE</x:t>
        </x:is>
      </x:c>
      <x:c r="E522" s="5"/>
      <x:c r="F522" s="4">
        <x:v>0</x:v>
      </x:c>
      <x:c r="G522" s="4">
        <x:v>28515</x:v>
      </x:c>
      <x:c r="H522" s="6">
        <x:v>507.18</x:v>
      </x:c>
      <x:c r="I522" s="16">
        <x:v>1</x:v>
      </x:c>
      <x:c r="J522"/>
      <x:c r="K522" s="4"/>
      <x:c r="L522" s="4"/>
      <x:c r="M522" s="4"/>
      <x:c r="N522" s="5"/>
    </x:row>
    <x:row r="523" ht="24" customHeight="1">
      <x:c r="A523" s="1" t="inlineStr">
        <x:is>
          <x:t xml:space="preserve">RESULT</x:t>
        </x:is>
      </x:c>
      <x:c r="B523" s="1" t="inlineStr">
        <x:is>
          <x:t xml:space="preserve">Round1</x:t>
        </x:is>
      </x:c>
      <x:c r="C523" s="1" t="inlineStr">
        <x:is>
          <x:t xml:space="preserve">Jsoup_23</x:t>
        </x:is>
      </x:c>
      <x:c r="D523" s="1" t="inlineStr">
        <x:is>
          <x:t xml:space="preserve">NOT_AVAILABLE</x:t>
        </x:is>
      </x:c>
      <x:c r="E523" s="5"/>
      <x:c r="F523" s="4">
        <x:v>0</x:v>
      </x:c>
      <x:c r="G523" s="4">
        <x:v>10958</x:v>
      </x:c>
      <x:c r="H523" s="6">
        <x:v>226.27</x:v>
      </x:c>
      <x:c r="I523" s="16">
        <x:v>1</x:v>
      </x:c>
      <x:c r="J523"/>
      <x:c r="K523" s="4"/>
      <x:c r="L523" s="4"/>
      <x:c r="M523" s="4"/>
      <x:c r="N523" s="5"/>
    </x:row>
    <x:row r="524" ht="24" customHeight="1">
      <x:c r="A524" s="1" t="inlineStr">
        <x:is>
          <x:t xml:space="preserve">RESULT</x:t>
        </x:is>
      </x:c>
      <x:c r="B524" s="1" t="inlineStr">
        <x:is>
          <x:t xml:space="preserve">Round1</x:t>
        </x:is>
      </x:c>
      <x:c r="C524" s="1" t="inlineStr">
        <x:is>
          <x:t xml:space="preserve">Jsoup_24</x:t>
        </x:is>
      </x:c>
      <x:c r="D524" s="1" t="inlineStr">
        <x:is>
          <x:t xml:space="preserve">NOT_AVAILABLE</x:t>
        </x:is>
      </x:c>
      <x:c r="E524" s="5"/>
      <x:c r="F524" s="4">
        <x:v>0</x:v>
      </x:c>
      <x:c r="G524" s="4">
        <x:v>21150</x:v>
      </x:c>
      <x:c r="H524" s="6">
        <x:v>81.26</x:v>
      </x:c>
      <x:c r="I524" s="16">
        <x:v>1</x:v>
      </x:c>
      <x:c r="J524"/>
      <x:c r="K524" s="4"/>
      <x:c r="L524" s="4"/>
      <x:c r="M524" s="4"/>
      <x:c r="N524" s="5"/>
    </x:row>
    <x:row r="525" ht="24" customHeight="1">
      <x:c r="A525" s="1" t="inlineStr">
        <x:is>
          <x:t xml:space="preserve">RESULT</x:t>
        </x:is>
      </x:c>
      <x:c r="B525" s="1" t="inlineStr">
        <x:is>
          <x:t xml:space="preserve">Round1</x:t>
        </x:is>
      </x:c>
      <x:c r="C525" s="1" t="inlineStr">
        <x:is>
          <x:t xml:space="preserve">Jsoup_25</x:t>
        </x:is>
      </x:c>
      <x:c r="D525" s="1" t="inlineStr">
        <x:is>
          <x:t xml:space="preserve">NOT_AVAILABLE</x:t>
        </x:is>
      </x:c>
      <x:c r="E525" s="5"/>
      <x:c r="F525" s="4">
        <x:v>0</x:v>
      </x:c>
      <x:c r="G525" s="4">
        <x:v>9117</x:v>
      </x:c>
      <x:c r="H525" s="6">
        <x:v>134.75</x:v>
      </x:c>
      <x:c r="I525" s="16">
        <x:v>1</x:v>
      </x:c>
      <x:c r="J525"/>
      <x:c r="K525" s="4"/>
      <x:c r="L525" s="4"/>
      <x:c r="M525" s="4"/>
      <x:c r="N525" s="5"/>
    </x:row>
    <x:row r="526" ht="24" customHeight="1">
      <x:c r="A526" s="1" t="inlineStr">
        <x:is>
          <x:t xml:space="preserve">RESULT</x:t>
        </x:is>
      </x:c>
      <x:c r="B526" s="1" t="inlineStr">
        <x:is>
          <x:t xml:space="preserve">Round1</x:t>
        </x:is>
      </x:c>
      <x:c r="C526" s="1" t="inlineStr">
        <x:is>
          <x:t xml:space="preserve">Jsoup_26</x:t>
        </x:is>
      </x:c>
      <x:c r="D526" s="1" t="inlineStr">
        <x:is>
          <x:t xml:space="preserve">NOT_AVAILABLE</x:t>
        </x:is>
      </x:c>
      <x:c r="E526" s="5"/>
      <x:c r="F526" s="4">
        <x:v>0</x:v>
      </x:c>
      <x:c r="G526" s="4">
        <x:v>4778</x:v>
      </x:c>
      <x:c r="H526" s="6">
        <x:v>77.21</x:v>
      </x:c>
      <x:c r="I526" s="16">
        <x:v>1</x:v>
      </x:c>
      <x:c r="J526"/>
      <x:c r="K526" s="4"/>
      <x:c r="L526" s="4"/>
      <x:c r="M526" s="4"/>
      <x:c r="N526" s="5"/>
    </x:row>
    <x:row r="527" ht="24" customHeight="1">
      <x:c r="A527" s="1" t="inlineStr">
        <x:is>
          <x:t xml:space="preserve">RESULT</x:t>
        </x:is>
      </x:c>
      <x:c r="B527" s="1" t="inlineStr">
        <x:is>
          <x:t xml:space="preserve">Round1</x:t>
        </x:is>
      </x:c>
      <x:c r="C527" s="1" t="inlineStr">
        <x:is>
          <x:t xml:space="preserve">Jsoup_27</x:t>
        </x:is>
      </x:c>
      <x:c r="D527" s="1" t="inlineStr">
        <x:is>
          <x:t xml:space="preserve">NOT_AVAILABLE</x:t>
        </x:is>
      </x:c>
      <x:c r="E527" s="5"/>
      <x:c r="F527" s="4">
        <x:v>0</x:v>
      </x:c>
      <x:c r="G527" s="4">
        <x:v>5002</x:v>
      </x:c>
      <x:c r="H527" s="6">
        <x:v>73.63</x:v>
      </x:c>
      <x:c r="I527" s="16">
        <x:v>1</x:v>
      </x:c>
      <x:c r="J527"/>
      <x:c r="K527" s="4"/>
      <x:c r="L527" s="4"/>
      <x:c r="M527" s="4"/>
      <x:c r="N527" s="5"/>
    </x:row>
    <x:row r="528" ht="24" customHeight="1">
      <x:c r="A528" s="1" t="inlineStr">
        <x:is>
          <x:t xml:space="preserve">RESULT</x:t>
        </x:is>
      </x:c>
      <x:c r="B528" s="1" t="inlineStr">
        <x:is>
          <x:t xml:space="preserve">Round1</x:t>
        </x:is>
      </x:c>
      <x:c r="C528" s="1" t="inlineStr">
        <x:is>
          <x:t xml:space="preserve">Jsoup_28</x:t>
        </x:is>
      </x:c>
      <x:c r="D528" s="1" t="inlineStr">
        <x:is>
          <x:t xml:space="preserve">NOT_AVAILABLE</x:t>
        </x:is>
      </x:c>
      <x:c r="E528" s="5"/>
      <x:c r="F528" s="4">
        <x:v>0</x:v>
      </x:c>
      <x:c r="G528" s="4">
        <x:v>16029</x:v>
      </x:c>
      <x:c r="H528" s="6">
        <x:v>253.21</x:v>
      </x:c>
      <x:c r="I528" s="16">
        <x:v>1</x:v>
      </x:c>
      <x:c r="J528"/>
      <x:c r="K528" s="4"/>
      <x:c r="L528" s="4"/>
      <x:c r="M528" s="4"/>
      <x:c r="N528" s="5"/>
    </x:row>
    <x:row r="529" ht="24" customHeight="1">
      <x:c r="A529" s="1" t="inlineStr">
        <x:is>
          <x:t xml:space="preserve">RESULT</x:t>
        </x:is>
      </x:c>
      <x:c r="B529" s="1" t="inlineStr">
        <x:is>
          <x:t xml:space="preserve">Round1</x:t>
        </x:is>
      </x:c>
      <x:c r="C529" s="1" t="inlineStr">
        <x:is>
          <x:t xml:space="preserve">Jsoup_29</x:t>
        </x:is>
      </x:c>
      <x:c r="D529" s="1" t="inlineStr">
        <x:is>
          <x:t xml:space="preserve">NOT_AVAILABLE</x:t>
        </x:is>
      </x:c>
      <x:c r="E529" s="5"/>
      <x:c r="F529" s="4">
        <x:v>0</x:v>
      </x:c>
      <x:c r="G529" s="4">
        <x:v>5681</x:v>
      </x:c>
      <x:c r="H529" s="6">
        <x:v>62.07</x:v>
      </x:c>
      <x:c r="I529" s="16">
        <x:v>1</x:v>
      </x:c>
      <x:c r="J529"/>
      <x:c r="K529" s="4"/>
      <x:c r="L529" s="4"/>
      <x:c r="M529" s="4"/>
      <x:c r="N529" s="5"/>
    </x:row>
    <x:row r="530" ht="24" customHeight="1">
      <x:c r="A530" s="1" t="inlineStr">
        <x:is>
          <x:t xml:space="preserve">RESULT</x:t>
        </x:is>
      </x:c>
      <x:c r="B530" s="1" t="inlineStr">
        <x:is>
          <x:t xml:space="preserve">Round1</x:t>
        </x:is>
      </x:c>
      <x:c r="C530" s="1" t="inlineStr">
        <x:is>
          <x:t xml:space="preserve">Jsoup_3</x:t>
        </x:is>
      </x:c>
      <x:c r="D530" s="1" t="inlineStr">
        <x:is>
          <x:t xml:space="preserve">NOT_AVAILABLE</x:t>
        </x:is>
      </x:c>
      <x:c r="E530" s="5"/>
      <x:c r="F530" s="4">
        <x:v>0</x:v>
      </x:c>
      <x:c r="G530" s="4">
        <x:v>20133</x:v>
      </x:c>
      <x:c r="H530" s="6">
        <x:v>259.28</x:v>
      </x:c>
      <x:c r="I530" s="16">
        <x:v>1</x:v>
      </x:c>
      <x:c r="J530"/>
      <x:c r="K530" s="4"/>
      <x:c r="L530" s="4"/>
      <x:c r="M530" s="4"/>
      <x:c r="N530" s="5"/>
    </x:row>
    <x:row r="531" ht="24" customHeight="1">
      <x:c r="A531" s="1" t="inlineStr">
        <x:is>
          <x:t xml:space="preserve">RESULT</x:t>
        </x:is>
      </x:c>
      <x:c r="B531" s="1" t="inlineStr">
        <x:is>
          <x:t xml:space="preserve">Round1</x:t>
        </x:is>
      </x:c>
      <x:c r="C531" s="1" t="inlineStr">
        <x:is>
          <x:t xml:space="preserve">Jsoup_30</x:t>
        </x:is>
      </x:c>
      <x:c r="D531" s="1" t="inlineStr">
        <x:is>
          <x:t xml:space="preserve">NOT_AVAILABLE</x:t>
        </x:is>
      </x:c>
      <x:c r="E531" s="5"/>
      <x:c r="F531" s="4">
        <x:v>0</x:v>
      </x:c>
      <x:c r="G531" s="4">
        <x:v>2937</x:v>
      </x:c>
      <x:c r="H531" s="6">
        <x:v>34.74</x:v>
      </x:c>
      <x:c r="I531" s="16">
        <x:v>1</x:v>
      </x:c>
      <x:c r="J531"/>
      <x:c r="K531" s="4"/>
      <x:c r="L531" s="4"/>
      <x:c r="M531" s="4"/>
      <x:c r="N531" s="5"/>
    </x:row>
    <x:row r="532" ht="24" customHeight="1">
      <x:c r="A532" s="1" t="inlineStr">
        <x:is>
          <x:t xml:space="preserve">RESULT</x:t>
        </x:is>
      </x:c>
      <x:c r="B532" s="1" t="inlineStr">
        <x:is>
          <x:t xml:space="preserve">Round1</x:t>
        </x:is>
      </x:c>
      <x:c r="C532" s="1" t="inlineStr">
        <x:is>
          <x:t xml:space="preserve">Jsoup_31</x:t>
        </x:is>
      </x:c>
      <x:c r="D532" s="1" t="inlineStr">
        <x:is>
          <x:t xml:space="preserve">NOT_AVAILABLE</x:t>
        </x:is>
      </x:c>
      <x:c r="E532" s="5"/>
      <x:c r="F532" s="4">
        <x:v>0</x:v>
      </x:c>
      <x:c r="G532" s="4">
        <x:v>25551</x:v>
      </x:c>
      <x:c r="H532" s="6">
        <x:v>302.78</x:v>
      </x:c>
      <x:c r="I532" s="16">
        <x:v>1</x:v>
      </x:c>
      <x:c r="J532"/>
      <x:c r="K532" s="4"/>
      <x:c r="L532" s="4"/>
      <x:c r="M532" s="4"/>
      <x:c r="N532" s="5"/>
    </x:row>
    <x:row r="533" ht="24" customHeight="1">
      <x:c r="A533" s="1" t="inlineStr">
        <x:is>
          <x:t xml:space="preserve">RESULT</x:t>
        </x:is>
      </x:c>
      <x:c r="B533" s="1" t="inlineStr">
        <x:is>
          <x:t xml:space="preserve">Round1</x:t>
        </x:is>
      </x:c>
      <x:c r="C533" s="1" t="inlineStr">
        <x:is>
          <x:t xml:space="preserve">Jsoup_32</x:t>
        </x:is>
      </x:c>
      <x:c r="D533" s="1" t="inlineStr">
        <x:is>
          <x:t xml:space="preserve">NOT_AVAILABLE</x:t>
        </x:is>
      </x:c>
      <x:c r="E533" s="5"/>
      <x:c r="F533" s="4">
        <x:v>0</x:v>
      </x:c>
      <x:c r="G533" s="4">
        <x:v>10340</x:v>
      </x:c>
      <x:c r="H533" s="6">
        <x:v>169.7</x:v>
      </x:c>
      <x:c r="I533" s="16">
        <x:v>1</x:v>
      </x:c>
      <x:c r="J533"/>
      <x:c r="K533" s="4"/>
      <x:c r="L533" s="4"/>
      <x:c r="M533" s="4"/>
      <x:c r="N533" s="5"/>
    </x:row>
    <x:row r="534" ht="24" customHeight="1">
      <x:c r="A534" s="1" t="inlineStr">
        <x:is>
          <x:t xml:space="preserve">RESULT</x:t>
        </x:is>
      </x:c>
      <x:c r="B534" s="1" t="inlineStr">
        <x:is>
          <x:t xml:space="preserve">Round1</x:t>
        </x:is>
      </x:c>
      <x:c r="C534" s="1" t="inlineStr">
        <x:is>
          <x:t xml:space="preserve">Jsoup_33</x:t>
        </x:is>
      </x:c>
      <x:c r="D534" s="1" t="inlineStr">
        <x:is>
          <x:t xml:space="preserve">INCONCLUSIVE</x:t>
        </x:is>
      </x:c>
      <x:c r="E534" s="5">
        <x:v>0.47840000000000005</x:v>
      </x:c>
      <x:c r="F534" s="4">
        <x:v>0</x:v>
      </x:c>
      <x:c r="G534" s="4">
        <x:v>9691</x:v>
      </x:c>
      <x:c r="H534" s="6">
        <x:v>110.03</x:v>
      </x:c>
      <x:c r="I534" s="16">
        <x:v>1</x:v>
      </x:c>
      <x:c r="J534">
        <x:v>393</x:v>
      </x:c>
      <x:c r="K534" s="4">
        <x:v>188</x:v>
      </x:c>
      <x:c r="L534" s="4">
        <x:v>202</x:v>
      </x:c>
      <x:c r="M534" s="4">
        <x:v>79</x:v>
      </x:c>
      <x:c r="N534" s="5">
        <x:v>0.3911</x:v>
      </x:c>
    </x:row>
    <x:row r="535" ht="24" customHeight="1">
      <x:c r="A535" s="1" t="inlineStr">
        <x:is>
          <x:t xml:space="preserve">RESULT</x:t>
        </x:is>
      </x:c>
      <x:c r="B535" s="1" t="inlineStr">
        <x:is>
          <x:t xml:space="preserve">Round1</x:t>
        </x:is>
      </x:c>
      <x:c r="C535" s="1" t="inlineStr">
        <x:is>
          <x:t xml:space="preserve">Jsoup_34</x:t>
        </x:is>
      </x:c>
      <x:c r="D535" s="1" t="inlineStr">
        <x:is>
          <x:t xml:space="preserve">INCONCLUSIVE</x:t>
        </x:is>
      </x:c>
      <x:c r="E535" s="5">
        <x:v>0.9779000000000001</x:v>
      </x:c>
      <x:c r="F535" s="4">
        <x:v>0</x:v>
      </x:c>
      <x:c r="G535" s="4">
        <x:v>4912</x:v>
      </x:c>
      <x:c r="H535" s="6">
        <x:v>86.31</x:v>
      </x:c>
      <x:c r="I535" s="16">
        <x:v>1</x:v>
      </x:c>
      <x:c r="J535">
        <x:v>136</x:v>
      </x:c>
      <x:c r="K535" s="4">
        <x:v>133</x:v>
      </x:c>
      <x:c r="L535" s="4">
        <x:v>130</x:v>
      </x:c>
      <x:c r="M535" s="4">
        <x:v>107</x:v>
      </x:c>
      <x:c r="N535" s="5">
        <x:v>0.8231</x:v>
      </x:c>
    </x:row>
    <x:row r="536" ht="24" customHeight="1">
      <x:c r="A536" s="1" t="inlineStr">
        <x:is>
          <x:t xml:space="preserve">RESULT</x:t>
        </x:is>
      </x:c>
      <x:c r="B536" s="1" t="inlineStr">
        <x:is>
          <x:t xml:space="preserve">Round1</x:t>
        </x:is>
      </x:c>
      <x:c r="C536" s="1" t="inlineStr">
        <x:is>
          <x:t xml:space="preserve">Jsoup_35</x:t>
        </x:is>
      </x:c>
      <x:c r="D536" s="1" t="inlineStr">
        <x:is>
          <x:t xml:space="preserve">NOT_AVAILABLE</x:t>
        </x:is>
      </x:c>
      <x:c r="E536" s="5"/>
      <x:c r="F536" s="4">
        <x:v>0</x:v>
      </x:c>
      <x:c r="G536" s="4">
        <x:v>15197</x:v>
      </x:c>
      <x:c r="H536" s="6">
        <x:v>78.35</x:v>
      </x:c>
      <x:c r="I536" s="16">
        <x:v>1</x:v>
      </x:c>
      <x:c r="J536"/>
      <x:c r="K536" s="4"/>
      <x:c r="L536" s="4"/>
      <x:c r="M536" s="4"/>
      <x:c r="N536" s="5"/>
    </x:row>
    <x:row r="537" ht="24" customHeight="1">
      <x:c r="A537" s="1" t="inlineStr">
        <x:is>
          <x:t xml:space="preserve">RESULT</x:t>
        </x:is>
      </x:c>
      <x:c r="B537" s="1" t="inlineStr">
        <x:is>
          <x:t xml:space="preserve">Round1</x:t>
        </x:is>
      </x:c>
      <x:c r="C537" s="1" t="inlineStr">
        <x:is>
          <x:t xml:space="preserve">Jsoup_36</x:t>
        </x:is>
      </x:c>
      <x:c r="D537" s="1" t="inlineStr">
        <x:is>
          <x:t xml:space="preserve">NOT_AVAILABLE</x:t>
        </x:is>
      </x:c>
      <x:c r="E537" s="5"/>
      <x:c r="F537" s="4">
        <x:v>0</x:v>
      </x:c>
      <x:c r="G537" s="4">
        <x:v>5485</x:v>
      </x:c>
      <x:c r="H537" s="6">
        <x:v>87.6</x:v>
      </x:c>
      <x:c r="I537" s="16">
        <x:v>1</x:v>
      </x:c>
      <x:c r="J537"/>
      <x:c r="K537" s="4"/>
      <x:c r="L537" s="4"/>
      <x:c r="M537" s="4"/>
      <x:c r="N537" s="5"/>
    </x:row>
    <x:row r="538" ht="24" customHeight="1">
      <x:c r="A538" s="1" t="inlineStr">
        <x:is>
          <x:t xml:space="preserve">RESULT</x:t>
        </x:is>
      </x:c>
      <x:c r="B538" s="1" t="inlineStr">
        <x:is>
          <x:t xml:space="preserve">Round1</x:t>
        </x:is>
      </x:c>
      <x:c r="C538" s="1" t="inlineStr">
        <x:is>
          <x:t xml:space="preserve">Jsoup_37</x:t>
        </x:is>
      </x:c>
      <x:c r="D538" s="1" t="inlineStr">
        <x:is>
          <x:t xml:space="preserve">NOT_AVAILABLE</x:t>
        </x:is>
      </x:c>
      <x:c r="E538" s="5"/>
      <x:c r="F538" s="4">
        <x:v>0</x:v>
      </x:c>
      <x:c r="G538" s="4">
        <x:v>9427</x:v>
      </x:c>
      <x:c r="H538" s="6">
        <x:v>135.62</x:v>
      </x:c>
      <x:c r="I538" s="16">
        <x:v>1</x:v>
      </x:c>
      <x:c r="J538"/>
      <x:c r="K538" s="4"/>
      <x:c r="L538" s="4"/>
      <x:c r="M538" s="4"/>
      <x:c r="N538" s="5"/>
    </x:row>
    <x:row r="539" ht="24" customHeight="1">
      <x:c r="A539" s="1" t="inlineStr">
        <x:is>
          <x:t xml:space="preserve">RESULT</x:t>
        </x:is>
      </x:c>
      <x:c r="B539" s="1" t="inlineStr">
        <x:is>
          <x:t xml:space="preserve">Round1</x:t>
        </x:is>
      </x:c>
      <x:c r="C539" s="1" t="inlineStr">
        <x:is>
          <x:t xml:space="preserve">Jsoup_38</x:t>
        </x:is>
      </x:c>
      <x:c r="D539" s="1" t="inlineStr">
        <x:is>
          <x:t xml:space="preserve">NOT_AVAILABLE</x:t>
        </x:is>
      </x:c>
      <x:c r="E539" s="5"/>
      <x:c r="F539" s="4">
        <x:v>0</x:v>
      </x:c>
      <x:c r="G539" s="4">
        <x:v>18486</x:v>
      </x:c>
      <x:c r="H539" s="6">
        <x:v>181.69</x:v>
      </x:c>
      <x:c r="I539" s="16">
        <x:v>1</x:v>
      </x:c>
      <x:c r="J539"/>
      <x:c r="K539" s="4"/>
      <x:c r="L539" s="4"/>
      <x:c r="M539" s="4"/>
      <x:c r="N539" s="5"/>
    </x:row>
    <x:row r="540" ht="24" customHeight="1">
      <x:c r="A540" s="1" t="inlineStr">
        <x:is>
          <x:t xml:space="preserve">RESULT</x:t>
        </x:is>
      </x:c>
      <x:c r="B540" s="1" t="inlineStr">
        <x:is>
          <x:t xml:space="preserve">Round1</x:t>
        </x:is>
      </x:c>
      <x:c r="C540" s="1" t="inlineStr">
        <x:is>
          <x:t xml:space="preserve">Jsoup_39</x:t>
        </x:is>
      </x:c>
      <x:c r="D540" s="1" t="inlineStr">
        <x:is>
          <x:t xml:space="preserve">INCONCLUSIVE</x:t>
        </x:is>
      </x:c>
      <x:c r="E540" s="5">
        <x:v>0.88</x:v>
      </x:c>
      <x:c r="F540" s="4">
        <x:v>0</x:v>
      </x:c>
      <x:c r="G540" s="4">
        <x:v>5507</x:v>
      </x:c>
      <x:c r="H540" s="6">
        <x:v>75.71</x:v>
      </x:c>
      <x:c r="I540" s="16">
        <x:v>1</x:v>
      </x:c>
      <x:c r="J540">
        <x:v>75</x:v>
      </x:c>
      <x:c r="K540" s="4">
        <x:v>66</x:v>
      </x:c>
      <x:c r="L540" s="4">
        <x:v>46</x:v>
      </x:c>
      <x:c r="M540" s="4">
        <x:v>33</x:v>
      </x:c>
      <x:c r="N540" s="5">
        <x:v>0.7173999999999999</x:v>
      </x:c>
    </x:row>
    <x:row r="541" ht="24" customHeight="1">
      <x:c r="A541" s="1" t="inlineStr">
        <x:is>
          <x:t xml:space="preserve">RESULT</x:t>
        </x:is>
      </x:c>
      <x:c r="B541" s="1" t="inlineStr">
        <x:is>
          <x:t xml:space="preserve">Round1</x:t>
        </x:is>
      </x:c>
      <x:c r="C541" s="1" t="inlineStr">
        <x:is>
          <x:t xml:space="preserve">Jsoup_4</x:t>
        </x:is>
      </x:c>
      <x:c r="D541" s="1" t="inlineStr">
        <x:is>
          <x:t xml:space="preserve">NOT_AVAILABLE</x:t>
        </x:is>
      </x:c>
      <x:c r="E541" s="5"/>
      <x:c r="F541" s="4">
        <x:v>0</x:v>
      </x:c>
      <x:c r="G541" s="4">
        <x:v>28801</x:v>
      </x:c>
      <x:c r="H541" s="6">
        <x:v>47.53</x:v>
      </x:c>
      <x:c r="I541" s="16">
        <x:v>1</x:v>
      </x:c>
      <x:c r="J541"/>
      <x:c r="K541" s="4"/>
      <x:c r="L541" s="4"/>
      <x:c r="M541" s="4"/>
      <x:c r="N541" s="5"/>
    </x:row>
    <x:row r="542" ht="24" customHeight="1">
      <x:c r="A542" s="1" t="inlineStr">
        <x:is>
          <x:t xml:space="preserve">RESULT</x:t>
        </x:is>
      </x:c>
      <x:c r="B542" s="1" t="inlineStr">
        <x:is>
          <x:t xml:space="preserve">Round1</x:t>
        </x:is>
      </x:c>
      <x:c r="C542" s="1" t="inlineStr">
        <x:is>
          <x:t xml:space="preserve">Jsoup_40</x:t>
        </x:is>
      </x:c>
      <x:c r="D542" s="1" t="inlineStr">
        <x:is>
          <x:t xml:space="preserve">INCONCLUSIVE</x:t>
        </x:is>
      </x:c>
      <x:c r="E542" s="5">
        <x:v>1.0</x:v>
      </x:c>
      <x:c r="F542" s="4">
        <x:v>0</x:v>
      </x:c>
      <x:c r="G542" s="4">
        <x:v>2713</x:v>
      </x:c>
      <x:c r="H542" s="6">
        <x:v>38.38</x:v>
      </x:c>
      <x:c r="I542" s="16">
        <x:v>1</x:v>
      </x:c>
      <x:c r="J542">
        <x:v>17</x:v>
      </x:c>
      <x:c r="K542" s="4">
        <x:v>17</x:v>
      </x:c>
      <x:c r="L542" s="4">
        <x:v>6</x:v>
      </x:c>
      <x:c r="M542" s="4">
        <x:v>6</x:v>
      </x:c>
      <x:c r="N542" s="5">
        <x:v>1.0</x:v>
      </x:c>
    </x:row>
    <x:row r="543" ht="24" customHeight="1">
      <x:c r="A543" s="1" t="inlineStr">
        <x:is>
          <x:t xml:space="preserve">RESULT</x:t>
        </x:is>
      </x:c>
      <x:c r="B543" s="1" t="inlineStr">
        <x:is>
          <x:t xml:space="preserve">Round1</x:t>
        </x:is>
      </x:c>
      <x:c r="C543" s="1" t="inlineStr">
        <x:is>
          <x:t xml:space="preserve">Jsoup_41</x:t>
        </x:is>
      </x:c>
      <x:c r="D543" s="1" t="inlineStr">
        <x:is>
          <x:t xml:space="preserve">NOT_AVAILABLE</x:t>
        </x:is>
      </x:c>
      <x:c r="E543" s="5"/>
      <x:c r="F543" s="4">
        <x:v>0</x:v>
      </x:c>
      <x:c r="G543" s="4">
        <x:v>10958</x:v>
      </x:c>
      <x:c r="H543" s="6">
        <x:v>170.09</x:v>
      </x:c>
      <x:c r="I543" s="16">
        <x:v>1</x:v>
      </x:c>
      <x:c r="J543"/>
      <x:c r="K543" s="4"/>
      <x:c r="L543" s="4"/>
      <x:c r="M543" s="4"/>
      <x:c r="N543" s="5"/>
    </x:row>
    <x:row r="544" ht="24" customHeight="1">
      <x:c r="A544" s="1" t="inlineStr">
        <x:is>
          <x:t xml:space="preserve">RESULT</x:t>
        </x:is>
      </x:c>
      <x:c r="B544" s="1" t="inlineStr">
        <x:is>
          <x:t xml:space="preserve">Round1</x:t>
        </x:is>
      </x:c>
      <x:c r="C544" s="1" t="inlineStr">
        <x:is>
          <x:t xml:space="preserve">Jsoup_42</x:t>
        </x:is>
      </x:c>
      <x:c r="D544" s="1" t="inlineStr">
        <x:is>
          <x:t xml:space="preserve">NOT_AVAILABLE</x:t>
        </x:is>
      </x:c>
      <x:c r="E544" s="5"/>
      <x:c r="F544" s="4">
        <x:v>0</x:v>
      </x:c>
      <x:c r="G544" s="4">
        <x:v>5095</x:v>
      </x:c>
      <x:c r="H544" s="6">
        <x:v>96.06</x:v>
      </x:c>
      <x:c r="I544" s="16">
        <x:v>1</x:v>
      </x:c>
      <x:c r="J544"/>
      <x:c r="K544" s="4"/>
      <x:c r="L544" s="4"/>
      <x:c r="M544" s="4"/>
      <x:c r="N544" s="5"/>
    </x:row>
    <x:row r="545" ht="24" customHeight="1">
      <x:c r="A545" s="1" t="inlineStr">
        <x:is>
          <x:t xml:space="preserve">RESULT</x:t>
        </x:is>
      </x:c>
      <x:c r="B545" s="1" t="inlineStr">
        <x:is>
          <x:t xml:space="preserve">Round1</x:t>
        </x:is>
      </x:c>
      <x:c r="C545" s="1" t="inlineStr">
        <x:is>
          <x:t xml:space="preserve">Jsoup_43</x:t>
        </x:is>
      </x:c>
      <x:c r="D545" s="1" t="inlineStr">
        <x:is>
          <x:t xml:space="preserve">NOT_AVAILABLE</x:t>
        </x:is>
      </x:c>
      <x:c r="E545" s="5"/>
      <x:c r="F545" s="4">
        <x:v>0</x:v>
      </x:c>
      <x:c r="G545" s="4">
        <x:v>11367</x:v>
      </x:c>
      <x:c r="H545" s="6">
        <x:v>181.73</x:v>
      </x:c>
      <x:c r="I545" s="16">
        <x:v>1</x:v>
      </x:c>
      <x:c r="J545"/>
      <x:c r="K545" s="4"/>
      <x:c r="L545" s="4"/>
      <x:c r="M545" s="4"/>
      <x:c r="N545" s="5"/>
    </x:row>
    <x:row r="546" ht="24" customHeight="1">
      <x:c r="A546" s="1" t="inlineStr">
        <x:is>
          <x:t xml:space="preserve">RESULT</x:t>
        </x:is>
      </x:c>
      <x:c r="B546" s="1" t="inlineStr">
        <x:is>
          <x:t xml:space="preserve">Round1</x:t>
        </x:is>
      </x:c>
      <x:c r="C546" s="1" t="inlineStr">
        <x:is>
          <x:t xml:space="preserve">Jsoup_44</x:t>
        </x:is>
      </x:c>
      <x:c r="D546" s="1" t="inlineStr">
        <x:is>
          <x:t xml:space="preserve">NOT_AVAILABLE</x:t>
        </x:is>
      </x:c>
      <x:c r="E546" s="5"/>
      <x:c r="F546" s="4">
        <x:v>0</x:v>
      </x:c>
      <x:c r="G546" s="4">
        <x:v>11353</x:v>
      </x:c>
      <x:c r="H546" s="6">
        <x:v>87.67</x:v>
      </x:c>
      <x:c r="I546" s="16">
        <x:v>1</x:v>
      </x:c>
      <x:c r="J546"/>
      <x:c r="K546" s="4"/>
      <x:c r="L546" s="4"/>
      <x:c r="M546" s="4"/>
      <x:c r="N546" s="5"/>
    </x:row>
    <x:row r="547" ht="24" customHeight="1">
      <x:c r="A547" s="1" t="inlineStr">
        <x:is>
          <x:t xml:space="preserve">RESULT</x:t>
        </x:is>
      </x:c>
      <x:c r="B547" s="1" t="inlineStr">
        <x:is>
          <x:t xml:space="preserve">Round1</x:t>
        </x:is>
      </x:c>
      <x:c r="C547" s="1" t="inlineStr">
        <x:is>
          <x:t xml:space="preserve">Jsoup_45</x:t>
        </x:is>
      </x:c>
      <x:c r="D547" s="1" t="inlineStr">
        <x:is>
          <x:t xml:space="preserve">NOT_AVAILABLE</x:t>
        </x:is>
      </x:c>
      <x:c r="E547" s="5"/>
      <x:c r="F547" s="4">
        <x:v>0</x:v>
      </x:c>
      <x:c r="G547" s="4">
        <x:v>8279</x:v>
      </x:c>
      <x:c r="H547" s="6">
        <x:v>49.29</x:v>
      </x:c>
      <x:c r="I547" s="16">
        <x:v>1</x:v>
      </x:c>
      <x:c r="J547"/>
      <x:c r="K547" s="4"/>
      <x:c r="L547" s="4"/>
      <x:c r="M547" s="4"/>
      <x:c r="N547" s="5"/>
    </x:row>
    <x:row r="548" ht="24" customHeight="1">
      <x:c r="A548" s="1" t="inlineStr">
        <x:is>
          <x:t xml:space="preserve">RESULT</x:t>
        </x:is>
      </x:c>
      <x:c r="B548" s="1" t="inlineStr">
        <x:is>
          <x:t xml:space="preserve">Round1</x:t>
        </x:is>
      </x:c>
      <x:c r="C548" s="1" t="inlineStr">
        <x:is>
          <x:t xml:space="preserve">Jsoup_46</x:t>
        </x:is>
      </x:c>
      <x:c r="D548" s="1" t="inlineStr">
        <x:is>
          <x:t xml:space="preserve">INCONCLUSIVE</x:t>
        </x:is>
      </x:c>
      <x:c r="E548" s="5">
        <x:v>0.7966</x:v>
      </x:c>
      <x:c r="F548" s="4">
        <x:v>0</x:v>
      </x:c>
      <x:c r="G548" s="4">
        <x:v>5894</x:v>
      </x:c>
      <x:c r="H548" s="6">
        <x:v>86.44</x:v>
      </x:c>
      <x:c r="I548" s="16">
        <x:v>1</x:v>
      </x:c>
      <x:c r="J548">
        <x:v>118</x:v>
      </x:c>
      <x:c r="K548" s="4">
        <x:v>94</x:v>
      </x:c>
      <x:c r="L548" s="4">
        <x:v>51</x:v>
      </x:c>
      <x:c r="M548" s="4">
        <x:v>32</x:v>
      </x:c>
      <x:c r="N548" s="5">
        <x:v>0.6275</x:v>
      </x:c>
    </x:row>
    <x:row r="549" ht="24" customHeight="1">
      <x:c r="A549" s="1" t="inlineStr">
        <x:is>
          <x:t xml:space="preserve">RESULT</x:t>
        </x:is>
      </x:c>
      <x:c r="B549" s="1" t="inlineStr">
        <x:is>
          <x:t xml:space="preserve">Round1</x:t>
        </x:is>
      </x:c>
      <x:c r="C549" s="1" t="inlineStr">
        <x:is>
          <x:t xml:space="preserve">Jsoup_47</x:t>
        </x:is>
      </x:c>
      <x:c r="D549" s="1" t="inlineStr">
        <x:is>
          <x:t xml:space="preserve">NOT_AVAILABLE</x:t>
        </x:is>
      </x:c>
      <x:c r="E549" s="5"/>
      <x:c r="F549" s="4">
        <x:v>0</x:v>
      </x:c>
      <x:c r="G549" s="4">
        <x:v>5448</x:v>
      </x:c>
      <x:c r="H549" s="6">
        <x:v>67.07</x:v>
      </x:c>
      <x:c r="I549" s="16">
        <x:v>1</x:v>
      </x:c>
      <x:c r="J549"/>
      <x:c r="K549" s="4"/>
      <x:c r="L549" s="4"/>
      <x:c r="M549" s="4"/>
      <x:c r="N549" s="5"/>
    </x:row>
    <x:row r="550" ht="24" customHeight="1">
      <x:c r="A550" s="1" t="inlineStr">
        <x:is>
          <x:t xml:space="preserve">RESULT</x:t>
        </x:is>
      </x:c>
      <x:c r="B550" s="1" t="inlineStr">
        <x:is>
          <x:t xml:space="preserve">Round1</x:t>
        </x:is>
      </x:c>
      <x:c r="C550" s="1" t="inlineStr">
        <x:is>
          <x:t xml:space="preserve">Jsoup_48</x:t>
        </x:is>
      </x:c>
      <x:c r="D550" s="1" t="inlineStr">
        <x:is>
          <x:t xml:space="preserve">NOT_AVAILABLE</x:t>
        </x:is>
      </x:c>
      <x:c r="E550" s="5"/>
      <x:c r="F550" s="4">
        <x:v>0</x:v>
      </x:c>
      <x:c r="G550" s="4">
        <x:v>14167</x:v>
      </x:c>
      <x:c r="H550" s="6">
        <x:v>220.44</x:v>
      </x:c>
      <x:c r="I550" s="16">
        <x:v>1</x:v>
      </x:c>
      <x:c r="J550"/>
      <x:c r="K550" s="4"/>
      <x:c r="L550" s="4"/>
      <x:c r="M550" s="4"/>
      <x:c r="N550" s="5"/>
    </x:row>
    <x:row r="551" ht="24" customHeight="1">
      <x:c r="A551" s="1" t="inlineStr">
        <x:is>
          <x:t xml:space="preserve">RESULT</x:t>
        </x:is>
      </x:c>
      <x:c r="B551" s="1" t="inlineStr">
        <x:is>
          <x:t xml:space="preserve">Round1</x:t>
        </x:is>
      </x:c>
      <x:c r="C551" s="1" t="inlineStr">
        <x:is>
          <x:t xml:space="preserve">Jsoup_49</x:t>
        </x:is>
      </x:c>
      <x:c r="D551" s="1" t="inlineStr">
        <x:is>
          <x:t xml:space="preserve">NOT_AVAILABLE</x:t>
        </x:is>
      </x:c>
      <x:c r="E551" s="5"/>
      <x:c r="F551" s="4">
        <x:v>0</x:v>
      </x:c>
      <x:c r="G551" s="4">
        <x:v>9393</x:v>
      </x:c>
      <x:c r="H551" s="6">
        <x:v>92.75</x:v>
      </x:c>
      <x:c r="I551" s="16">
        <x:v>1</x:v>
      </x:c>
      <x:c r="J551"/>
      <x:c r="K551" s="4"/>
      <x:c r="L551" s="4"/>
      <x:c r="M551" s="4"/>
      <x:c r="N551" s="5"/>
    </x:row>
    <x:row r="552" ht="24" customHeight="1">
      <x:c r="A552" s="1" t="inlineStr">
        <x:is>
          <x:t xml:space="preserve">RESULT</x:t>
        </x:is>
      </x:c>
      <x:c r="B552" s="1" t="inlineStr">
        <x:is>
          <x:t xml:space="preserve">Round1</x:t>
        </x:is>
      </x:c>
      <x:c r="C552" s="1" t="inlineStr">
        <x:is>
          <x:t xml:space="preserve">Jsoup_5</x:t>
        </x:is>
      </x:c>
      <x:c r="D552" s="1" t="inlineStr">
        <x:is>
          <x:t xml:space="preserve">NOT_REVEALING</x:t>
        </x:is>
      </x:c>
      <x:c r="E552" s="5">
        <x:v>0.6453</x:v>
      </x:c>
      <x:c r="F552" s="4">
        <x:v>0</x:v>
      </x:c>
      <x:c r="G552" s="4">
        <x:v>4252</x:v>
      </x:c>
      <x:c r="H552" s="6">
        <x:v>15.69</x:v>
      </x:c>
      <x:c r="I552" s="16">
        <x:v>1</x:v>
      </x:c>
      <x:c r="J552">
        <x:v>172</x:v>
      </x:c>
      <x:c r="K552" s="4">
        <x:v>111</x:v>
      </x:c>
      <x:c r="L552" s="4">
        <x:v>92</x:v>
      </x:c>
      <x:c r="M552" s="4">
        <x:v>45</x:v>
      </x:c>
      <x:c r="N552" s="5">
        <x:v>0.4891</x:v>
      </x:c>
    </x:row>
    <x:row r="553" ht="24" customHeight="1">
      <x:c r="A553" s="1" t="inlineStr">
        <x:is>
          <x:t xml:space="preserve">RESULT</x:t>
        </x:is>
      </x:c>
      <x:c r="B553" s="1" t="inlineStr">
        <x:is>
          <x:t xml:space="preserve">Round1</x:t>
        </x:is>
      </x:c>
      <x:c r="C553" s="1" t="inlineStr">
        <x:is>
          <x:t xml:space="preserve">Jsoup_50</x:t>
        </x:is>
      </x:c>
      <x:c r="D553" s="1" t="inlineStr">
        <x:is>
          <x:t xml:space="preserve">NOT_AVAILABLE</x:t>
        </x:is>
      </x:c>
      <x:c r="E553" s="5"/>
      <x:c r="F553" s="4">
        <x:v>0</x:v>
      </x:c>
      <x:c r="G553" s="4">
        <x:v>6493</x:v>
      </x:c>
      <x:c r="H553" s="6">
        <x:v>95.9</x:v>
      </x:c>
      <x:c r="I553" s="16">
        <x:v>1</x:v>
      </x:c>
      <x:c r="J553"/>
      <x:c r="K553" s="4"/>
      <x:c r="L553" s="4"/>
      <x:c r="M553" s="4"/>
      <x:c r="N553" s="5"/>
    </x:row>
    <x:row r="554" ht="24" customHeight="1">
      <x:c r="A554" s="1" t="inlineStr">
        <x:is>
          <x:t xml:space="preserve">RESULT</x:t>
        </x:is>
      </x:c>
      <x:c r="B554" s="1" t="inlineStr">
        <x:is>
          <x:t xml:space="preserve">Round1</x:t>
        </x:is>
      </x:c>
      <x:c r="C554" s="1" t="inlineStr">
        <x:is>
          <x:t xml:space="preserve">Jsoup_51</x:t>
        </x:is>
      </x:c>
      <x:c r="D554" s="1" t="inlineStr">
        <x:is>
          <x:t xml:space="preserve">INCONCLUSIVE</x:t>
        </x:is>
      </x:c>
      <x:c r="E554" s="5">
        <x:v>0.9641</x:v>
      </x:c>
      <x:c r="F554" s="4">
        <x:v>0</x:v>
      </x:c>
      <x:c r="G554" s="4">
        <x:v>6530</x:v>
      </x:c>
      <x:c r="H554" s="6">
        <x:v>88.42</x:v>
      </x:c>
      <x:c r="I554" s="16">
        <x:v>1</x:v>
      </x:c>
      <x:c r="J554">
        <x:v>195</x:v>
      </x:c>
      <x:c r="K554" s="4">
        <x:v>188</x:v>
      </x:c>
      <x:c r="L554" s="4">
        <x:v>186</x:v>
      </x:c>
      <x:c r="M554" s="4">
        <x:v>149</x:v>
      </x:c>
      <x:c r="N554" s="5">
        <x:v>0.8011</x:v>
      </x:c>
    </x:row>
    <x:row r="555" ht="24" customHeight="1">
      <x:c r="A555" s="1" t="inlineStr">
        <x:is>
          <x:t xml:space="preserve">RESULT</x:t>
        </x:is>
      </x:c>
      <x:c r="B555" s="1" t="inlineStr">
        <x:is>
          <x:t xml:space="preserve">Round1</x:t>
        </x:is>
      </x:c>
      <x:c r="C555" s="1" t="inlineStr">
        <x:is>
          <x:t xml:space="preserve">Jsoup_52</x:t>
        </x:is>
      </x:c>
      <x:c r="D555" s="1" t="inlineStr">
        <x:is>
          <x:t xml:space="preserve">NOT_AVAILABLE</x:t>
        </x:is>
      </x:c>
      <x:c r="E555" s="5"/>
      <x:c r="F555" s="4">
        <x:v>0</x:v>
      </x:c>
      <x:c r="G555" s="4">
        <x:v>11651</x:v>
      </x:c>
      <x:c r="H555" s="6">
        <x:v>147.44</x:v>
      </x:c>
      <x:c r="I555" s="16">
        <x:v>1</x:v>
      </x:c>
      <x:c r="J555"/>
      <x:c r="K555" s="4"/>
      <x:c r="L555" s="4"/>
      <x:c r="M555" s="4"/>
      <x:c r="N555" s="5"/>
    </x:row>
    <x:row r="556" ht="24" customHeight="1">
      <x:c r="A556" s="1" t="inlineStr">
        <x:is>
          <x:t xml:space="preserve">RESULT</x:t>
        </x:is>
      </x:c>
      <x:c r="B556" s="1" t="inlineStr">
        <x:is>
          <x:t xml:space="preserve">Round1</x:t>
        </x:is>
      </x:c>
      <x:c r="C556" s="1" t="inlineStr">
        <x:is>
          <x:t xml:space="preserve">Jsoup_53</x:t>
        </x:is>
      </x:c>
      <x:c r="D556" s="1" t="inlineStr">
        <x:is>
          <x:t xml:space="preserve">INCONCLUSIVE</x:t>
        </x:is>
      </x:c>
      <x:c r="E556" s="5">
        <x:v>0.9</x:v>
      </x:c>
      <x:c r="F556" s="4">
        <x:v>0</x:v>
      </x:c>
      <x:c r="G556" s="4">
        <x:v>6397</x:v>
      </x:c>
      <x:c r="H556" s="6">
        <x:v>87.95</x:v>
      </x:c>
      <x:c r="I556" s="16">
        <x:v>1</x:v>
      </x:c>
      <x:c r="J556">
        <x:v>130</x:v>
      </x:c>
      <x:c r="K556" s="4">
        <x:v>117</x:v>
      </x:c>
      <x:c r="L556" s="4">
        <x:v>108</x:v>
      </x:c>
      <x:c r="M556" s="4">
        <x:v>88</x:v>
      </x:c>
      <x:c r="N556" s="5">
        <x:v>0.8148000000000001</x:v>
      </x:c>
    </x:row>
    <x:row r="557" ht="24" customHeight="1">
      <x:c r="A557" s="1" t="inlineStr">
        <x:is>
          <x:t xml:space="preserve">RESULT</x:t>
        </x:is>
      </x:c>
      <x:c r="B557" s="1" t="inlineStr">
        <x:is>
          <x:t xml:space="preserve">Round1</x:t>
        </x:is>
      </x:c>
      <x:c r="C557" s="1" t="inlineStr">
        <x:is>
          <x:t xml:space="preserve">Jsoup_54</x:t>
        </x:is>
      </x:c>
      <x:c r="D557" s="1" t="inlineStr">
        <x:is>
          <x:t xml:space="preserve">NOT_AVAILABLE</x:t>
        </x:is>
      </x:c>
      <x:c r="E557" s="5"/>
      <x:c r="F557" s="4">
        <x:v>0</x:v>
      </x:c>
      <x:c r="G557" s="4">
        <x:v>4842</x:v>
      </x:c>
      <x:c r="H557" s="6">
        <x:v>94.35</x:v>
      </x:c>
      <x:c r="I557" s="16">
        <x:v>1</x:v>
      </x:c>
      <x:c r="J557"/>
      <x:c r="K557" s="4"/>
      <x:c r="L557" s="4"/>
      <x:c r="M557" s="4"/>
      <x:c r="N557" s="5"/>
    </x:row>
    <x:row r="558" ht="24" customHeight="1">
      <x:c r="A558" s="1" t="inlineStr">
        <x:is>
          <x:t xml:space="preserve">RESULT</x:t>
        </x:is>
      </x:c>
      <x:c r="B558" s="1" t="inlineStr">
        <x:is>
          <x:t xml:space="preserve">Round1</x:t>
        </x:is>
      </x:c>
      <x:c r="C558" s="1" t="inlineStr">
        <x:is>
          <x:t xml:space="preserve">Jsoup_55</x:t>
        </x:is>
      </x:c>
      <x:c r="D558" s="1" t="inlineStr">
        <x:is>
          <x:t xml:space="preserve">NOT_AVAILABLE</x:t>
        </x:is>
      </x:c>
      <x:c r="E558" s="5"/>
      <x:c r="F558" s="4">
        <x:v>0</x:v>
      </x:c>
      <x:c r="G558" s="4">
        <x:v>16140</x:v>
      </x:c>
      <x:c r="H558" s="6">
        <x:v>137.97</x:v>
      </x:c>
      <x:c r="I558" s="16">
        <x:v>1</x:v>
      </x:c>
      <x:c r="J558"/>
      <x:c r="K558" s="4"/>
      <x:c r="L558" s="4"/>
      <x:c r="M558" s="4"/>
      <x:c r="N558" s="5"/>
    </x:row>
    <x:row r="559" ht="24" customHeight="1">
      <x:c r="A559" s="1" t="inlineStr">
        <x:is>
          <x:t xml:space="preserve">RESULT</x:t>
        </x:is>
      </x:c>
      <x:c r="B559" s="1" t="inlineStr">
        <x:is>
          <x:t xml:space="preserve">Round1</x:t>
        </x:is>
      </x:c>
      <x:c r="C559" s="1" t="inlineStr">
        <x:is>
          <x:t xml:space="preserve">Jsoup_56</x:t>
        </x:is>
      </x:c>
      <x:c r="D559" s="1" t="inlineStr">
        <x:is>
          <x:t xml:space="preserve">NOT_AVAILABLE</x:t>
        </x:is>
      </x:c>
      <x:c r="E559" s="5"/>
      <x:c r="F559" s="4">
        <x:v>0</x:v>
      </x:c>
      <x:c r="G559" s="4">
        <x:v>44430</x:v>
      </x:c>
      <x:c r="H559" s="6">
        <x:v>445.71</x:v>
      </x:c>
      <x:c r="I559" s="16">
        <x:v>1</x:v>
      </x:c>
      <x:c r="J559"/>
      <x:c r="K559" s="4"/>
      <x:c r="L559" s="4"/>
      <x:c r="M559" s="4"/>
      <x:c r="N559" s="5"/>
    </x:row>
    <x:row r="560" ht="24" customHeight="1">
      <x:c r="A560" s="1" t="inlineStr">
        <x:is>
          <x:t xml:space="preserve">RESULT</x:t>
        </x:is>
      </x:c>
      <x:c r="B560" s="1" t="inlineStr">
        <x:is>
          <x:t xml:space="preserve">Round1</x:t>
        </x:is>
      </x:c>
      <x:c r="C560" s="1" t="inlineStr">
        <x:is>
          <x:t xml:space="preserve">Jsoup_57</x:t>
        </x:is>
      </x:c>
      <x:c r="D560" s="1" t="inlineStr">
        <x:is>
          <x:t xml:space="preserve">NOT_REVEALING</x:t>
        </x:is>
      </x:c>
      <x:c r="E560" s="5">
        <x:v>0.9449</x:v>
      </x:c>
      <x:c r="F560" s="4">
        <x:v>0</x:v>
      </x:c>
      <x:c r="G560" s="4">
        <x:v>6057</x:v>
      </x:c>
      <x:c r="H560" s="6">
        <x:v>91.57</x:v>
      </x:c>
      <x:c r="I560" s="16">
        <x:v>1</x:v>
      </x:c>
      <x:c r="J560">
        <x:v>127</x:v>
      </x:c>
      <x:c r="K560" s="4">
        <x:v>120</x:v>
      </x:c>
      <x:c r="L560" s="4">
        <x:v>76</x:v>
      </x:c>
      <x:c r="M560" s="4">
        <x:v>71</x:v>
      </x:c>
      <x:c r="N560" s="5">
        <x:v>0.9342</x:v>
      </x:c>
    </x:row>
    <x:row r="561" ht="24" customHeight="1">
      <x:c r="A561" s="1" t="inlineStr">
        <x:is>
          <x:t xml:space="preserve">RESULT</x:t>
        </x:is>
      </x:c>
      <x:c r="B561" s="1" t="inlineStr">
        <x:is>
          <x:t xml:space="preserve">Round1</x:t>
        </x:is>
      </x:c>
      <x:c r="C561" s="1" t="inlineStr">
        <x:is>
          <x:t xml:space="preserve">Jsoup_58</x:t>
        </x:is>
      </x:c>
      <x:c r="D561" s="1" t="inlineStr">
        <x:is>
          <x:t xml:space="preserve">INCONCLUSIVE</x:t>
        </x:is>
      </x:c>
      <x:c r="E561" s="5">
        <x:v>0.9684999999999999</x:v>
      </x:c>
      <x:c r="F561" s="4">
        <x:v>0</x:v>
      </x:c>
      <x:c r="G561" s="4">
        <x:v>15770</x:v>
      </x:c>
      <x:c r="H561" s="6">
        <x:v>208.18</x:v>
      </x:c>
      <x:c r="I561" s="16">
        <x:v>1</x:v>
      </x:c>
      <x:c r="J561">
        <x:v>127</x:v>
      </x:c>
      <x:c r="K561" s="4">
        <x:v>123</x:v>
      </x:c>
      <x:c r="L561" s="4">
        <x:v>32</x:v>
      </x:c>
      <x:c r="M561" s="4">
        <x:v>32</x:v>
      </x:c>
      <x:c r="N561" s="5">
        <x:v>1.0</x:v>
      </x:c>
    </x:row>
    <x:row r="562" ht="24" customHeight="1">
      <x:c r="A562" s="1" t="inlineStr">
        <x:is>
          <x:t xml:space="preserve">RESULT</x:t>
        </x:is>
      </x:c>
      <x:c r="B562" s="1" t="inlineStr">
        <x:is>
          <x:t xml:space="preserve">Round1</x:t>
        </x:is>
      </x:c>
      <x:c r="C562" s="1" t="inlineStr">
        <x:is>
          <x:t xml:space="preserve">Jsoup_59</x:t>
        </x:is>
      </x:c>
      <x:c r="D562" s="1" t="inlineStr">
        <x:is>
          <x:t xml:space="preserve">NOT_AVAILABLE</x:t>
        </x:is>
      </x:c>
      <x:c r="E562" s="5"/>
      <x:c r="F562" s="4">
        <x:v>0</x:v>
      </x:c>
      <x:c r="G562" s="4">
        <x:v>5602</x:v>
      </x:c>
      <x:c r="H562" s="6">
        <x:v>75.69</x:v>
      </x:c>
      <x:c r="I562" s="16">
        <x:v>1</x:v>
      </x:c>
      <x:c r="J562"/>
      <x:c r="K562" s="4"/>
      <x:c r="L562" s="4"/>
      <x:c r="M562" s="4"/>
      <x:c r="N562" s="5"/>
    </x:row>
    <x:row r="563" ht="24" customHeight="1">
      <x:c r="A563" s="1" t="inlineStr">
        <x:is>
          <x:t xml:space="preserve">RESULT</x:t>
        </x:is>
      </x:c>
      <x:c r="B563" s="1" t="inlineStr">
        <x:is>
          <x:t xml:space="preserve">Round1</x:t>
        </x:is>
      </x:c>
      <x:c r="C563" s="1" t="inlineStr">
        <x:is>
          <x:t xml:space="preserve">Jsoup_6</x:t>
        </x:is>
      </x:c>
      <x:c r="D563" s="1" t="inlineStr">
        <x:is>
          <x:t xml:space="preserve">NOT_AVAILABLE</x:t>
        </x:is>
      </x:c>
      <x:c r="E563" s="5"/>
      <x:c r="F563" s="4">
        <x:v>0</x:v>
      </x:c>
      <x:c r="G563" s="4">
        <x:v>28465</x:v>
      </x:c>
      <x:c r="H563" s="6">
        <x:v>33.03</x:v>
      </x:c>
      <x:c r="I563" s="16">
        <x:v>1</x:v>
      </x:c>
      <x:c r="J563"/>
      <x:c r="K563" s="4"/>
      <x:c r="L563" s="4"/>
      <x:c r="M563" s="4"/>
      <x:c r="N563" s="5"/>
    </x:row>
    <x:row r="564" ht="24" customHeight="1">
      <x:c r="A564" s="1" t="inlineStr">
        <x:is>
          <x:t xml:space="preserve">RESULT</x:t>
        </x:is>
      </x:c>
      <x:c r="B564" s="1" t="inlineStr">
        <x:is>
          <x:t xml:space="preserve">Round1</x:t>
        </x:is>
      </x:c>
      <x:c r="C564" s="1" t="inlineStr">
        <x:is>
          <x:t xml:space="preserve">Jsoup_60</x:t>
        </x:is>
      </x:c>
      <x:c r="D564" s="1" t="inlineStr">
        <x:is>
          <x:t xml:space="preserve">NOT_AVAILABLE</x:t>
        </x:is>
      </x:c>
      <x:c r="E564" s="5"/>
      <x:c r="F564" s="4">
        <x:v>0</x:v>
      </x:c>
      <x:c r="G564" s="4">
        <x:v>14652</x:v>
      </x:c>
      <x:c r="H564" s="6">
        <x:v>192.41</x:v>
      </x:c>
      <x:c r="I564" s="16">
        <x:v>1</x:v>
      </x:c>
      <x:c r="J564"/>
      <x:c r="K564" s="4"/>
      <x:c r="L564" s="4"/>
      <x:c r="M564" s="4"/>
      <x:c r="N564" s="5"/>
    </x:row>
    <x:row r="565" ht="24" customHeight="1">
      <x:c r="A565" s="1" t="inlineStr">
        <x:is>
          <x:t xml:space="preserve">RESULT</x:t>
        </x:is>
      </x:c>
      <x:c r="B565" s="1" t="inlineStr">
        <x:is>
          <x:t xml:space="preserve">Round1</x:t>
        </x:is>
      </x:c>
      <x:c r="C565" s="1" t="inlineStr">
        <x:is>
          <x:t xml:space="preserve">Jsoup_61</x:t>
        </x:is>
      </x:c>
      <x:c r="D565" s="1" t="inlineStr">
        <x:is>
          <x:t xml:space="preserve">NOT_AVAILABLE</x:t>
        </x:is>
      </x:c>
      <x:c r="E565" s="5"/>
      <x:c r="F565" s="4">
        <x:v>0</x:v>
      </x:c>
      <x:c r="G565" s="4">
        <x:v>10911</x:v>
      </x:c>
      <x:c r="H565" s="6">
        <x:v>166.98</x:v>
      </x:c>
      <x:c r="I565" s="16">
        <x:v>1</x:v>
      </x:c>
      <x:c r="J565"/>
      <x:c r="K565" s="4"/>
      <x:c r="L565" s="4"/>
      <x:c r="M565" s="4"/>
      <x:c r="N565" s="5"/>
    </x:row>
    <x:row r="566" ht="24" customHeight="1">
      <x:c r="A566" s="1" t="inlineStr">
        <x:is>
          <x:t xml:space="preserve">RESULT</x:t>
        </x:is>
      </x:c>
      <x:c r="B566" s="1" t="inlineStr">
        <x:is>
          <x:t xml:space="preserve">Round1</x:t>
        </x:is>
      </x:c>
      <x:c r="C566" s="1" t="inlineStr">
        <x:is>
          <x:t xml:space="preserve">Jsoup_62</x:t>
        </x:is>
      </x:c>
      <x:c r="D566" s="1" t="inlineStr">
        <x:is>
          <x:t xml:space="preserve">NOT_AVAILABLE</x:t>
        </x:is>
      </x:c>
      <x:c r="E566" s="5"/>
      <x:c r="F566" s="4">
        <x:v>0</x:v>
      </x:c>
      <x:c r="G566" s="4">
        <x:v>19098</x:v>
      </x:c>
      <x:c r="H566" s="6">
        <x:v>185.0</x:v>
      </x:c>
      <x:c r="I566" s="16">
        <x:v>1</x:v>
      </x:c>
      <x:c r="J566"/>
      <x:c r="K566" s="4"/>
      <x:c r="L566" s="4"/>
      <x:c r="M566" s="4"/>
      <x:c r="N566" s="5"/>
    </x:row>
    <x:row r="567" ht="24" customHeight="1">
      <x:c r="A567" s="1" t="inlineStr">
        <x:is>
          <x:t xml:space="preserve">RESULT</x:t>
        </x:is>
      </x:c>
      <x:c r="B567" s="1" t="inlineStr">
        <x:is>
          <x:t xml:space="preserve">Round1</x:t>
        </x:is>
      </x:c>
      <x:c r="C567" s="1" t="inlineStr">
        <x:is>
          <x:t xml:space="preserve">Jsoup_63</x:t>
        </x:is>
      </x:c>
      <x:c r="D567" s="1" t="inlineStr">
        <x:is>
          <x:t xml:space="preserve">NOT_AVAILABLE</x:t>
        </x:is>
      </x:c>
      <x:c r="E567" s="5"/>
      <x:c r="F567" s="4">
        <x:v>0</x:v>
      </x:c>
      <x:c r="G567" s="4">
        <x:v>14433</x:v>
      </x:c>
      <x:c r="H567" s="6">
        <x:v>156.52</x:v>
      </x:c>
      <x:c r="I567" s="16">
        <x:v>1</x:v>
      </x:c>
      <x:c r="J567"/>
      <x:c r="K567" s="4"/>
      <x:c r="L567" s="4"/>
      <x:c r="M567" s="4"/>
      <x:c r="N567" s="5"/>
    </x:row>
    <x:row r="568" ht="24" customHeight="1">
      <x:c r="A568" s="1" t="inlineStr">
        <x:is>
          <x:t xml:space="preserve">RESULT</x:t>
        </x:is>
      </x:c>
      <x:c r="B568" s="1" t="inlineStr">
        <x:is>
          <x:t xml:space="preserve">Round1</x:t>
        </x:is>
      </x:c>
      <x:c r="C568" s="1" t="inlineStr">
        <x:is>
          <x:t xml:space="preserve">Jsoup_64</x:t>
        </x:is>
      </x:c>
      <x:c r="D568" s="1" t="inlineStr">
        <x:is>
          <x:t xml:space="preserve">NOT_AVAILABLE</x:t>
        </x:is>
      </x:c>
      <x:c r="E568" s="5"/>
      <x:c r="F568" s="4">
        <x:v>0</x:v>
      </x:c>
      <x:c r="G568" s="4">
        <x:v>18832</x:v>
      </x:c>
      <x:c r="H568" s="6">
        <x:v>52.12</x:v>
      </x:c>
      <x:c r="I568" s="16">
        <x:v>1</x:v>
      </x:c>
      <x:c r="J568"/>
      <x:c r="K568" s="4"/>
      <x:c r="L568" s="4"/>
      <x:c r="M568" s="4"/>
      <x:c r="N568" s="5"/>
    </x:row>
    <x:row r="569" ht="24" customHeight="1">
      <x:c r="A569" s="1" t="inlineStr">
        <x:is>
          <x:t xml:space="preserve">RESULT</x:t>
        </x:is>
      </x:c>
      <x:c r="B569" s="1" t="inlineStr">
        <x:is>
          <x:t xml:space="preserve">Round1</x:t>
        </x:is>
      </x:c>
      <x:c r="C569" s="1" t="inlineStr">
        <x:is>
          <x:t xml:space="preserve">Jsoup_65</x:t>
        </x:is>
      </x:c>
      <x:c r="D569" s="1" t="inlineStr">
        <x:is>
          <x:t xml:space="preserve">NOT_AVAILABLE</x:t>
        </x:is>
      </x:c>
      <x:c r="E569" s="5"/>
      <x:c r="F569" s="4">
        <x:v>0</x:v>
      </x:c>
      <x:c r="G569" s="4">
        <x:v>35285</x:v>
      </x:c>
      <x:c r="H569" s="6">
        <x:v>498.3</x:v>
      </x:c>
      <x:c r="I569" s="16">
        <x:v>1</x:v>
      </x:c>
      <x:c r="J569"/>
      <x:c r="K569" s="4"/>
      <x:c r="L569" s="4"/>
      <x:c r="M569" s="4"/>
      <x:c r="N569" s="5"/>
    </x:row>
    <x:row r="570" ht="24" customHeight="1">
      <x:c r="A570" s="1" t="inlineStr">
        <x:is>
          <x:t xml:space="preserve">RESULT</x:t>
        </x:is>
      </x:c>
      <x:c r="B570" s="1" t="inlineStr">
        <x:is>
          <x:t xml:space="preserve">Round1</x:t>
        </x:is>
      </x:c>
      <x:c r="C570" s="1" t="inlineStr">
        <x:is>
          <x:t xml:space="preserve">Jsoup_66</x:t>
        </x:is>
      </x:c>
      <x:c r="D570" s="1" t="inlineStr">
        <x:is>
          <x:t xml:space="preserve">NOT_AVAILABLE</x:t>
        </x:is>
      </x:c>
      <x:c r="E570" s="5"/>
      <x:c r="F570" s="4">
        <x:v>0</x:v>
      </x:c>
      <x:c r="G570" s="4">
        <x:v>12214</x:v>
      </x:c>
      <x:c r="H570" s="6">
        <x:v>165.51</x:v>
      </x:c>
      <x:c r="I570" s="16">
        <x:v>1</x:v>
      </x:c>
      <x:c r="J570"/>
      <x:c r="K570" s="4"/>
      <x:c r="L570" s="4"/>
      <x:c r="M570" s="4"/>
      <x:c r="N570" s="5"/>
    </x:row>
    <x:row r="571" ht="24" customHeight="1">
      <x:c r="A571" s="1" t="inlineStr">
        <x:is>
          <x:t xml:space="preserve">RESULT</x:t>
        </x:is>
      </x:c>
      <x:c r="B571" s="1" t="inlineStr">
        <x:is>
          <x:t xml:space="preserve">Round1</x:t>
        </x:is>
      </x:c>
      <x:c r="C571" s="1" t="inlineStr">
        <x:is>
          <x:t xml:space="preserve">Jsoup_67</x:t>
        </x:is>
      </x:c>
      <x:c r="D571" s="1" t="inlineStr">
        <x:is>
          <x:t xml:space="preserve">NOT_AVAILABLE</x:t>
        </x:is>
      </x:c>
      <x:c r="E571" s="5"/>
      <x:c r="F571" s="4">
        <x:v>0</x:v>
      </x:c>
      <x:c r="G571" s="4">
        <x:v>8597</x:v>
      </x:c>
      <x:c r="H571" s="6">
        <x:v>80.8</x:v>
      </x:c>
      <x:c r="I571" s="16">
        <x:v>1</x:v>
      </x:c>
      <x:c r="J571"/>
      <x:c r="K571" s="4"/>
      <x:c r="L571" s="4"/>
      <x:c r="M571" s="4"/>
      <x:c r="N571" s="5"/>
    </x:row>
    <x:row r="572" ht="24" customHeight="1">
      <x:c r="A572" s="1" t="inlineStr">
        <x:is>
          <x:t xml:space="preserve">RESULT</x:t>
        </x:is>
      </x:c>
      <x:c r="B572" s="1" t="inlineStr">
        <x:is>
          <x:t xml:space="preserve">Round1</x:t>
        </x:is>
      </x:c>
      <x:c r="C572" s="1" t="inlineStr">
        <x:is>
          <x:t xml:space="preserve">Jsoup_68</x:t>
        </x:is>
      </x:c>
      <x:c r="D572" s="1" t="inlineStr">
        <x:is>
          <x:t xml:space="preserve">NOT_AVAILABLE</x:t>
        </x:is>
      </x:c>
      <x:c r="E572" s="5"/>
      <x:c r="F572" s="4">
        <x:v>0</x:v>
      </x:c>
      <x:c r="G572" s="4">
        <x:v>11814</x:v>
      </x:c>
      <x:c r="H572" s="6">
        <x:v>181.1</x:v>
      </x:c>
      <x:c r="I572" s="16">
        <x:v>1</x:v>
      </x:c>
      <x:c r="J572"/>
      <x:c r="K572" s="4"/>
      <x:c r="L572" s="4"/>
      <x:c r="M572" s="4"/>
      <x:c r="N572" s="5"/>
    </x:row>
    <x:row r="573" ht="24" customHeight="1">
      <x:c r="A573" s="1" t="inlineStr">
        <x:is>
          <x:t xml:space="preserve">RESULT</x:t>
        </x:is>
      </x:c>
      <x:c r="B573" s="1" t="inlineStr">
        <x:is>
          <x:t xml:space="preserve">Round1</x:t>
        </x:is>
      </x:c>
      <x:c r="C573" s="1" t="inlineStr">
        <x:is>
          <x:t xml:space="preserve">Jsoup_69</x:t>
        </x:is>
      </x:c>
      <x:c r="D573" s="1" t="inlineStr">
        <x:is>
          <x:t xml:space="preserve">INCONCLUSIVE</x:t>
        </x:is>
      </x:c>
      <x:c r="E573" s="5">
        <x:v>0.9211</x:v>
      </x:c>
      <x:c r="F573" s="4">
        <x:v>0</x:v>
      </x:c>
      <x:c r="G573" s="4">
        <x:v>3905</x:v>
      </x:c>
      <x:c r="H573" s="6">
        <x:v>56.09</x:v>
      </x:c>
      <x:c r="I573" s="16">
        <x:v>1</x:v>
      </x:c>
      <x:c r="J573">
        <x:v>38</x:v>
      </x:c>
      <x:c r="K573" s="4">
        <x:v>35</x:v>
      </x:c>
      <x:c r="L573" s="4">
        <x:v>28</x:v>
      </x:c>
      <x:c r="M573" s="4">
        <x:v>24</x:v>
      </x:c>
      <x:c r="N573" s="5">
        <x:v>0.8571</x:v>
      </x:c>
    </x:row>
    <x:row r="574" ht="24" customHeight="1">
      <x:c r="A574" s="1" t="inlineStr">
        <x:is>
          <x:t xml:space="preserve">RESULT</x:t>
        </x:is>
      </x:c>
      <x:c r="B574" s="1" t="inlineStr">
        <x:is>
          <x:t xml:space="preserve">Round1</x:t>
        </x:is>
      </x:c>
      <x:c r="C574" s="1" t="inlineStr">
        <x:is>
          <x:t xml:space="preserve">Jsoup_7</x:t>
        </x:is>
      </x:c>
      <x:c r="D574" s="1" t="inlineStr">
        <x:is>
          <x:t xml:space="preserve">NOT_AVAILABLE</x:t>
        </x:is>
      </x:c>
      <x:c r="E574" s="5"/>
      <x:c r="F574" s="4">
        <x:v>0</x:v>
      </x:c>
      <x:c r="G574" s="4">
        <x:v>5341</x:v>
      </x:c>
      <x:c r="H574" s="6">
        <x:v>66.41</x:v>
      </x:c>
      <x:c r="I574" s="16">
        <x:v>1</x:v>
      </x:c>
      <x:c r="J574"/>
      <x:c r="K574" s="4"/>
      <x:c r="L574" s="4"/>
      <x:c r="M574" s="4"/>
      <x:c r="N574" s="5"/>
    </x:row>
    <x:row r="575" ht="24" customHeight="1">
      <x:c r="A575" s="1" t="inlineStr">
        <x:is>
          <x:t xml:space="preserve">RESULT</x:t>
        </x:is>
      </x:c>
      <x:c r="B575" s="1" t="inlineStr">
        <x:is>
          <x:t xml:space="preserve">Round1</x:t>
        </x:is>
      </x:c>
      <x:c r="C575" s="1" t="inlineStr">
        <x:is>
          <x:t xml:space="preserve">Jsoup_70</x:t>
        </x:is>
      </x:c>
      <x:c r="D575" s="1" t="inlineStr">
        <x:is>
          <x:t xml:space="preserve">NOT_AVAILABLE</x:t>
        </x:is>
      </x:c>
      <x:c r="E575" s="5"/>
      <x:c r="F575" s="4">
        <x:v>0</x:v>
      </x:c>
      <x:c r="G575" s="4">
        <x:v>9731</x:v>
      </x:c>
      <x:c r="H575" s="6">
        <x:v>97.17</x:v>
      </x:c>
      <x:c r="I575" s="16">
        <x:v>1</x:v>
      </x:c>
      <x:c r="J575"/>
      <x:c r="K575" s="4"/>
      <x:c r="L575" s="4"/>
      <x:c r="M575" s="4"/>
      <x:c r="N575" s="5"/>
    </x:row>
    <x:row r="576" ht="24" customHeight="1">
      <x:c r="A576" s="1" t="inlineStr">
        <x:is>
          <x:t xml:space="preserve">RESULT</x:t>
        </x:is>
      </x:c>
      <x:c r="B576" s="1" t="inlineStr">
        <x:is>
          <x:t xml:space="preserve">Round1</x:t>
        </x:is>
      </x:c>
      <x:c r="C576" s="1" t="inlineStr">
        <x:is>
          <x:t xml:space="preserve">Jsoup_71</x:t>
        </x:is>
      </x:c>
      <x:c r="D576" s="1" t="inlineStr">
        <x:is>
          <x:t xml:space="preserve">NOT_AVAILABLE</x:t>
        </x:is>
      </x:c>
      <x:c r="E576" s="5"/>
      <x:c r="F576" s="4">
        <x:v>0</x:v>
      </x:c>
      <x:c r="G576" s="4">
        <x:v>15573</x:v>
      </x:c>
      <x:c r="H576" s="6">
        <x:v>164.5</x:v>
      </x:c>
      <x:c r="I576" s="16">
        <x:v>1</x:v>
      </x:c>
      <x:c r="J576"/>
      <x:c r="K576" s="4"/>
      <x:c r="L576" s="4"/>
      <x:c r="M576" s="4"/>
      <x:c r="N576" s="5"/>
    </x:row>
    <x:row r="577" ht="24" customHeight="1">
      <x:c r="A577" s="1" t="inlineStr">
        <x:is>
          <x:t xml:space="preserve">RESULT</x:t>
        </x:is>
      </x:c>
      <x:c r="B577" s="1" t="inlineStr">
        <x:is>
          <x:t xml:space="preserve">Round1</x:t>
        </x:is>
      </x:c>
      <x:c r="C577" s="1" t="inlineStr">
        <x:is>
          <x:t xml:space="preserve">Jsoup_72</x:t>
        </x:is>
      </x:c>
      <x:c r="D577" s="1" t="inlineStr">
        <x:is>
          <x:t xml:space="preserve">INCONCLUSIVE</x:t>
        </x:is>
      </x:c>
      <x:c r="E577" s="5">
        <x:v>0.9473999999999999</x:v>
      </x:c>
      <x:c r="F577" s="4">
        <x:v>0</x:v>
      </x:c>
      <x:c r="G577" s="4">
        <x:v>8384</x:v>
      </x:c>
      <x:c r="H577" s="6">
        <x:v>117.27</x:v>
      </x:c>
      <x:c r="I577" s="16">
        <x:v>1</x:v>
      </x:c>
      <x:c r="J577">
        <x:v>228</x:v>
      </x:c>
      <x:c r="K577" s="4">
        <x:v>216</x:v>
      </x:c>
      <x:c r="L577" s="4">
        <x:v>198</x:v>
      </x:c>
      <x:c r="M577" s="4">
        <x:v>159</x:v>
      </x:c>
      <x:c r="N577" s="5">
        <x:v>0.8029999999999999</x:v>
      </x:c>
    </x:row>
    <x:row r="578" ht="24" customHeight="1">
      <x:c r="A578" s="1" t="inlineStr">
        <x:is>
          <x:t xml:space="preserve">RESULT</x:t>
        </x:is>
      </x:c>
      <x:c r="B578" s="1" t="inlineStr">
        <x:is>
          <x:t xml:space="preserve">Round1</x:t>
        </x:is>
      </x:c>
      <x:c r="C578" s="1" t="inlineStr">
        <x:is>
          <x:t xml:space="preserve">Jsoup_73</x:t>
        </x:is>
      </x:c>
      <x:c r="D578" s="1" t="inlineStr">
        <x:is>
          <x:t xml:space="preserve">NOT_AVAILABLE</x:t>
        </x:is>
      </x:c>
      <x:c r="E578" s="5"/>
      <x:c r="F578" s="4">
        <x:v>0</x:v>
      </x:c>
      <x:c r="G578" s="4">
        <x:v>5390</x:v>
      </x:c>
      <x:c r="H578" s="6">
        <x:v>82.79</x:v>
      </x:c>
      <x:c r="I578" s="16">
        <x:v>1</x:v>
      </x:c>
      <x:c r="J578"/>
      <x:c r="K578" s="4"/>
      <x:c r="L578" s="4"/>
      <x:c r="M578" s="4"/>
      <x:c r="N578" s="5"/>
    </x:row>
    <x:row r="579" ht="24" customHeight="1">
      <x:c r="A579" s="1" t="inlineStr">
        <x:is>
          <x:t xml:space="preserve">RESULT</x:t>
        </x:is>
      </x:c>
      <x:c r="B579" s="1" t="inlineStr">
        <x:is>
          <x:t xml:space="preserve">Round1</x:t>
        </x:is>
      </x:c>
      <x:c r="C579" s="1" t="inlineStr">
        <x:is>
          <x:t xml:space="preserve">Jsoup_74</x:t>
        </x:is>
      </x:c>
      <x:c r="D579" s="1" t="inlineStr">
        <x:is>
          <x:t xml:space="preserve">INCONCLUSIVE</x:t>
        </x:is>
      </x:c>
      <x:c r="E579" s="5">
        <x:v>0.9157</x:v>
      </x:c>
      <x:c r="F579" s="4">
        <x:v>0</x:v>
      </x:c>
      <x:c r="G579" s="4">
        <x:v>6954</x:v>
      </x:c>
      <x:c r="H579" s="6">
        <x:v>137.74</x:v>
      </x:c>
      <x:c r="I579" s="16">
        <x:v>1</x:v>
      </x:c>
      <x:c r="J579">
        <x:v>83</x:v>
      </x:c>
      <x:c r="K579" s="4">
        <x:v>76</x:v>
      </x:c>
      <x:c r="L579" s="4">
        <x:v>74</x:v>
      </x:c>
      <x:c r="M579" s="4">
        <x:v>67</x:v>
      </x:c>
      <x:c r="N579" s="5">
        <x:v>0.9054000000000001</x:v>
      </x:c>
    </x:row>
    <x:row r="580" ht="24" customHeight="1">
      <x:c r="A580" s="1" t="inlineStr">
        <x:is>
          <x:t xml:space="preserve">RESULT</x:t>
        </x:is>
      </x:c>
      <x:c r="B580" s="1" t="inlineStr">
        <x:is>
          <x:t xml:space="preserve">Round1</x:t>
        </x:is>
      </x:c>
      <x:c r="C580" s="1" t="inlineStr">
        <x:is>
          <x:t xml:space="preserve">Jsoup_75</x:t>
        </x:is>
      </x:c>
      <x:c r="D580" s="1" t="inlineStr">
        <x:is>
          <x:t xml:space="preserve">INCONCLUSIVE</x:t>
        </x:is>
      </x:c>
      <x:c r="E580" s="5">
        <x:v>0.9699</x:v>
      </x:c>
      <x:c r="F580" s="4">
        <x:v>0</x:v>
      </x:c>
      <x:c r="G580" s="4">
        <x:v>6599</x:v>
      </x:c>
      <x:c r="H580" s="6">
        <x:v>71.77</x:v>
      </x:c>
      <x:c r="I580" s="16">
        <x:v>1</x:v>
      </x:c>
      <x:c r="J580">
        <x:v>166</x:v>
      </x:c>
      <x:c r="K580" s="4">
        <x:v>161</x:v>
      </x:c>
      <x:c r="L580" s="4">
        <x:v>84</x:v>
      </x:c>
      <x:c r="M580" s="4">
        <x:v>75</x:v>
      </x:c>
      <x:c r="N580" s="5">
        <x:v>0.8929</x:v>
      </x:c>
    </x:row>
    <x:row r="581" ht="24" customHeight="1">
      <x:c r="A581" s="1" t="inlineStr">
        <x:is>
          <x:t xml:space="preserve">RESULT</x:t>
        </x:is>
      </x:c>
      <x:c r="B581" s="1" t="inlineStr">
        <x:is>
          <x:t xml:space="preserve">Round1</x:t>
        </x:is>
      </x:c>
      <x:c r="C581" s="1" t="inlineStr">
        <x:is>
          <x:t xml:space="preserve">Jsoup_76</x:t>
        </x:is>
      </x:c>
      <x:c r="D581" s="1" t="inlineStr">
        <x:is>
          <x:t xml:space="preserve">NOT_AVAILABLE</x:t>
        </x:is>
      </x:c>
      <x:c r="E581" s="5"/>
      <x:c r="F581" s="4">
        <x:v>0</x:v>
      </x:c>
      <x:c r="G581" s="4">
        <x:v>21065</x:v>
      </x:c>
      <x:c r="H581" s="6">
        <x:v>235.06</x:v>
      </x:c>
      <x:c r="I581" s="16">
        <x:v>1</x:v>
      </x:c>
      <x:c r="J581"/>
      <x:c r="K581" s="4"/>
      <x:c r="L581" s="4"/>
      <x:c r="M581" s="4"/>
      <x:c r="N581" s="5"/>
    </x:row>
    <x:row r="582" ht="24" customHeight="1">
      <x:c r="A582" s="1" t="inlineStr">
        <x:is>
          <x:t xml:space="preserve">RESULT</x:t>
        </x:is>
      </x:c>
      <x:c r="B582" s="1" t="inlineStr">
        <x:is>
          <x:t xml:space="preserve">Round1</x:t>
        </x:is>
      </x:c>
      <x:c r="C582" s="1" t="inlineStr">
        <x:is>
          <x:t xml:space="preserve">Jsoup_77</x:t>
        </x:is>
      </x:c>
      <x:c r="D582" s="1" t="inlineStr">
        <x:is>
          <x:t xml:space="preserve">NOT_AVAILABLE</x:t>
        </x:is>
      </x:c>
      <x:c r="E582" s="5"/>
      <x:c r="F582" s="4">
        <x:v>0</x:v>
      </x:c>
      <x:c r="G582" s="4">
        <x:v>5666</x:v>
      </x:c>
      <x:c r="H582" s="6">
        <x:v>104.78</x:v>
      </x:c>
      <x:c r="I582" s="16">
        <x:v>1</x:v>
      </x:c>
      <x:c r="J582"/>
      <x:c r="K582" s="4"/>
      <x:c r="L582" s="4"/>
      <x:c r="M582" s="4"/>
      <x:c r="N582" s="5"/>
    </x:row>
    <x:row r="583" ht="24" customHeight="1">
      <x:c r="A583" s="1" t="inlineStr">
        <x:is>
          <x:t xml:space="preserve">RESULT</x:t>
        </x:is>
      </x:c>
      <x:c r="B583" s="1" t="inlineStr">
        <x:is>
          <x:t xml:space="preserve">Round1</x:t>
        </x:is>
      </x:c>
      <x:c r="C583" s="1" t="inlineStr">
        <x:is>
          <x:t xml:space="preserve">Jsoup_78</x:t>
        </x:is>
      </x:c>
      <x:c r="D583" s="1" t="inlineStr">
        <x:is>
          <x:t xml:space="preserve">INCONCLUSIVE</x:t>
        </x:is>
      </x:c>
      <x:c r="E583" s="5">
        <x:v>0.7523000000000001</x:v>
      </x:c>
      <x:c r="F583" s="4">
        <x:v>0</x:v>
      </x:c>
      <x:c r="G583" s="4">
        <x:v>5856</x:v>
      </x:c>
      <x:c r="H583" s="6">
        <x:v>60.19</x:v>
      </x:c>
      <x:c r="I583" s="16">
        <x:v>1</x:v>
      </x:c>
      <x:c r="J583">
        <x:v>109</x:v>
      </x:c>
      <x:c r="K583" s="4">
        <x:v>82</x:v>
      </x:c>
      <x:c r="L583" s="4">
        <x:v>88</x:v>
      </x:c>
      <x:c r="M583" s="4">
        <x:v>38</x:v>
      </x:c>
      <x:c r="N583" s="5">
        <x:v>0.4318</x:v>
      </x:c>
    </x:row>
    <x:row r="584" ht="24" customHeight="1">
      <x:c r="A584" s="1" t="inlineStr">
        <x:is>
          <x:t xml:space="preserve">RESULT</x:t>
        </x:is>
      </x:c>
      <x:c r="B584" s="1" t="inlineStr">
        <x:is>
          <x:t xml:space="preserve">Round1</x:t>
        </x:is>
      </x:c>
      <x:c r="C584" s="1" t="inlineStr">
        <x:is>
          <x:t xml:space="preserve">Jsoup_79</x:t>
        </x:is>
      </x:c>
      <x:c r="D584" s="1" t="inlineStr">
        <x:is>
          <x:t xml:space="preserve">NOT_AVAILABLE</x:t>
        </x:is>
      </x:c>
      <x:c r="E584" s="5"/>
      <x:c r="F584" s="4">
        <x:v>0</x:v>
      </x:c>
      <x:c r="G584" s="4">
        <x:v>2945</x:v>
      </x:c>
      <x:c r="H584" s="6">
        <x:v>38.76</x:v>
      </x:c>
      <x:c r="I584" s="16">
        <x:v>1</x:v>
      </x:c>
      <x:c r="J584"/>
      <x:c r="K584" s="4"/>
      <x:c r="L584" s="4"/>
      <x:c r="M584" s="4"/>
      <x:c r="N584" s="5"/>
    </x:row>
    <x:row r="585" ht="24" customHeight="1">
      <x:c r="A585" s="1" t="inlineStr">
        <x:is>
          <x:t xml:space="preserve">RESULT</x:t>
        </x:is>
      </x:c>
      <x:c r="B585" s="1" t="inlineStr">
        <x:is>
          <x:t xml:space="preserve">Round1</x:t>
        </x:is>
      </x:c>
      <x:c r="C585" s="1" t="inlineStr">
        <x:is>
          <x:t xml:space="preserve">Jsoup_8</x:t>
        </x:is>
      </x:c>
      <x:c r="D585" s="1" t="inlineStr">
        <x:is>
          <x:t xml:space="preserve">NOT_AVAILABLE</x:t>
        </x:is>
      </x:c>
      <x:c r="E585" s="5"/>
      <x:c r="F585" s="4">
        <x:v>0</x:v>
      </x:c>
      <x:c r="G585" s="4">
        <x:v>22751</x:v>
      </x:c>
      <x:c r="H585" s="6">
        <x:v>560.13</x:v>
      </x:c>
      <x:c r="I585" s="16">
        <x:v>1</x:v>
      </x:c>
      <x:c r="J585"/>
      <x:c r="K585" s="4"/>
      <x:c r="L585" s="4"/>
      <x:c r="M585" s="4"/>
      <x:c r="N585" s="5"/>
    </x:row>
    <x:row r="586" ht="24" customHeight="1">
      <x:c r="A586" s="1" t="inlineStr">
        <x:is>
          <x:t xml:space="preserve">RESULT</x:t>
        </x:is>
      </x:c>
      <x:c r="B586" s="1" t="inlineStr">
        <x:is>
          <x:t xml:space="preserve">Round1</x:t>
        </x:is>
      </x:c>
      <x:c r="C586" s="1" t="inlineStr">
        <x:is>
          <x:t xml:space="preserve">Jsoup_80</x:t>
        </x:is>
      </x:c>
      <x:c r="D586" s="1" t="inlineStr">
        <x:is>
          <x:t xml:space="preserve">NOT_AVAILABLE</x:t>
        </x:is>
      </x:c>
      <x:c r="E586" s="5"/>
      <x:c r="F586" s="4">
        <x:v>0</x:v>
      </x:c>
      <x:c r="G586" s="4">
        <x:v>15092</x:v>
      </x:c>
      <x:c r="H586" s="6">
        <x:v>397.99</x:v>
      </x:c>
      <x:c r="I586" s="16">
        <x:v>1</x:v>
      </x:c>
      <x:c r="J586"/>
      <x:c r="K586" s="4"/>
      <x:c r="L586" s="4"/>
      <x:c r="M586" s="4"/>
      <x:c r="N586" s="5"/>
    </x:row>
    <x:row r="587" ht="24" customHeight="1">
      <x:c r="A587" s="1" t="inlineStr">
        <x:is>
          <x:t xml:space="preserve">RESULT</x:t>
        </x:is>
      </x:c>
      <x:c r="B587" s="1" t="inlineStr">
        <x:is>
          <x:t xml:space="preserve">Round1</x:t>
        </x:is>
      </x:c>
      <x:c r="C587" s="1" t="inlineStr">
        <x:is>
          <x:t xml:space="preserve">Jsoup_81</x:t>
        </x:is>
      </x:c>
      <x:c r="D587" s="1" t="inlineStr">
        <x:is>
          <x:t xml:space="preserve">NOT_AVAILABLE</x:t>
        </x:is>
      </x:c>
      <x:c r="E587" s="5"/>
      <x:c r="F587" s="4">
        <x:v>0</x:v>
      </x:c>
      <x:c r="G587" s="4">
        <x:v>14363</x:v>
      </x:c>
      <x:c r="H587" s="6">
        <x:v>328.6</x:v>
      </x:c>
      <x:c r="I587" s="16">
        <x:v>1</x:v>
      </x:c>
      <x:c r="J587"/>
      <x:c r="K587" s="4"/>
      <x:c r="L587" s="4"/>
      <x:c r="M587" s="4"/>
      <x:c r="N587" s="5"/>
    </x:row>
    <x:row r="588" ht="24" customHeight="1">
      <x:c r="A588" s="1" t="inlineStr">
        <x:is>
          <x:t xml:space="preserve">RESULT</x:t>
        </x:is>
      </x:c>
      <x:c r="B588" s="1" t="inlineStr">
        <x:is>
          <x:t xml:space="preserve">Round1</x:t>
        </x:is>
      </x:c>
      <x:c r="C588" s="1" t="inlineStr">
        <x:is>
          <x:t xml:space="preserve">Jsoup_82</x:t>
        </x:is>
      </x:c>
      <x:c r="D588" s="1" t="inlineStr">
        <x:is>
          <x:t xml:space="preserve">INCONCLUSIVE</x:t>
        </x:is>
      </x:c>
      <x:c r="E588" s="5">
        <x:v>0.7965000000000001</x:v>
      </x:c>
      <x:c r="F588" s="4">
        <x:v>0</x:v>
      </x:c>
      <x:c r="G588" s="4">
        <x:v>25469</x:v>
      </x:c>
      <x:c r="H588" s="6">
        <x:v>782.88</x:v>
      </x:c>
      <x:c r="I588" s="16">
        <x:v>1</x:v>
      </x:c>
      <x:c r="J588">
        <x:v>113</x:v>
      </x:c>
      <x:c r="K588" s="4">
        <x:v>90</x:v>
      </x:c>
      <x:c r="L588" s="4">
        <x:v>96</x:v>
      </x:c>
      <x:c r="M588" s="4">
        <x:v>44</x:v>
      </x:c>
      <x:c r="N588" s="5">
        <x:v>0.4583</x:v>
      </x:c>
    </x:row>
    <x:row r="589" ht="24" customHeight="1">
      <x:c r="A589" s="1" t="inlineStr">
        <x:is>
          <x:t xml:space="preserve">RESULT</x:t>
        </x:is>
      </x:c>
      <x:c r="B589" s="1" t="inlineStr">
        <x:is>
          <x:t xml:space="preserve">Round1</x:t>
        </x:is>
      </x:c>
      <x:c r="C589" s="1" t="inlineStr">
        <x:is>
          <x:t xml:space="preserve">Jsoup_83</x:t>
        </x:is>
      </x:c>
      <x:c r="D589" s="1" t="inlineStr">
        <x:is>
          <x:t xml:space="preserve">NOT_AVAILABLE</x:t>
        </x:is>
      </x:c>
      <x:c r="E589" s="5"/>
      <x:c r="F589" s="4">
        <x:v>0</x:v>
      </x:c>
      <x:c r="G589" s="4">
        <x:v>61762</x:v>
      </x:c>
      <x:c r="H589" s="6">
        <x:v>1850.4</x:v>
      </x:c>
      <x:c r="I589" s="16">
        <x:v>1</x:v>
      </x:c>
      <x:c r="J589"/>
      <x:c r="K589" s="4"/>
      <x:c r="L589" s="4"/>
      <x:c r="M589" s="4"/>
      <x:c r="N589" s="5"/>
    </x:row>
    <x:row r="590" ht="24" customHeight="1">
      <x:c r="A590" s="1" t="inlineStr">
        <x:is>
          <x:t xml:space="preserve">RESULT</x:t>
        </x:is>
      </x:c>
      <x:c r="B590" s="1" t="inlineStr">
        <x:is>
          <x:t xml:space="preserve">Round1</x:t>
        </x:is>
      </x:c>
      <x:c r="C590" s="1" t="inlineStr">
        <x:is>
          <x:t xml:space="preserve">Jsoup_84</x:t>
        </x:is>
      </x:c>
      <x:c r="D590" s="1" t="inlineStr">
        <x:is>
          <x:t xml:space="preserve">NOT_AVAILABLE</x:t>
        </x:is>
      </x:c>
      <x:c r="E590" s="5"/>
      <x:c r="F590" s="4">
        <x:v>0</x:v>
      </x:c>
      <x:c r="G590" s="4">
        <x:v>5665</x:v>
      </x:c>
      <x:c r="H590" s="6">
        <x:v>27.83</x:v>
      </x:c>
      <x:c r="I590" s="16">
        <x:v>1</x:v>
      </x:c>
      <x:c r="J590"/>
      <x:c r="K590" s="4"/>
      <x:c r="L590" s="4"/>
      <x:c r="M590" s="4"/>
      <x:c r="N590" s="5"/>
    </x:row>
    <x:row r="591" ht="24" customHeight="1">
      <x:c r="A591" s="1" t="inlineStr">
        <x:is>
          <x:t xml:space="preserve">RESULT</x:t>
        </x:is>
      </x:c>
      <x:c r="B591" s="1" t="inlineStr">
        <x:is>
          <x:t xml:space="preserve">Round1</x:t>
        </x:is>
      </x:c>
      <x:c r="C591" s="1" t="inlineStr">
        <x:is>
          <x:t xml:space="preserve">Jsoup_85</x:t>
        </x:is>
      </x:c>
      <x:c r="D591" s="1" t="inlineStr">
        <x:is>
          <x:t xml:space="preserve">INCONCLUSIVE</x:t>
        </x:is>
      </x:c>
      <x:c r="E591" s="5">
        <x:v>0.9077</x:v>
      </x:c>
      <x:c r="F591" s="4">
        <x:v>0</x:v>
      </x:c>
      <x:c r="G591" s="4">
        <x:v>12617</x:v>
      </x:c>
      <x:c r="H591" s="6">
        <x:v>99.05</x:v>
      </x:c>
      <x:c r="I591" s="16">
        <x:v>1</x:v>
      </x:c>
      <x:c r="J591">
        <x:v>65</x:v>
      </x:c>
      <x:c r="K591" s="4">
        <x:v>59</x:v>
      </x:c>
      <x:c r="L591" s="4">
        <x:v>50</x:v>
      </x:c>
      <x:c r="M591" s="4">
        <x:v>37</x:v>
      </x:c>
      <x:c r="N591" s="5">
        <x:v>0.74</x:v>
      </x:c>
    </x:row>
    <x:row r="592" ht="24" customHeight="1">
      <x:c r="A592" s="1" t="inlineStr">
        <x:is>
          <x:t xml:space="preserve">RESULT</x:t>
        </x:is>
      </x:c>
      <x:c r="B592" s="1" t="inlineStr">
        <x:is>
          <x:t xml:space="preserve">Round1</x:t>
        </x:is>
      </x:c>
      <x:c r="C592" s="1" t="inlineStr">
        <x:is>
          <x:t xml:space="preserve">Jsoup_86</x:t>
        </x:is>
      </x:c>
      <x:c r="D592" s="1" t="inlineStr">
        <x:is>
          <x:t xml:space="preserve">INCONCLUSIVE</x:t>
        </x:is>
      </x:c>
      <x:c r="E592" s="5">
        <x:v>0.9259000000000001</x:v>
      </x:c>
      <x:c r="F592" s="4">
        <x:v>0</x:v>
      </x:c>
      <x:c r="G592" s="4">
        <x:v>5549</x:v>
      </x:c>
      <x:c r="H592" s="6">
        <x:v>41.45</x:v>
      </x:c>
      <x:c r="I592" s="16">
        <x:v>1</x:v>
      </x:c>
      <x:c r="J592">
        <x:v>27</x:v>
      </x:c>
      <x:c r="K592" s="4">
        <x:v>25</x:v>
      </x:c>
      <x:c r="L592" s="4">
        <x:v>10</x:v>
      </x:c>
      <x:c r="M592" s="4">
        <x:v>8</x:v>
      </x:c>
      <x:c r="N592" s="5">
        <x:v>0.8</x:v>
      </x:c>
    </x:row>
    <x:row r="593" ht="24" customHeight="1">
      <x:c r="A593" s="1" t="inlineStr">
        <x:is>
          <x:t xml:space="preserve">RESULT</x:t>
        </x:is>
      </x:c>
      <x:c r="B593" s="1" t="inlineStr">
        <x:is>
          <x:t xml:space="preserve">Round1</x:t>
        </x:is>
      </x:c>
      <x:c r="C593" s="1" t="inlineStr">
        <x:is>
          <x:t xml:space="preserve">Jsoup_87</x:t>
        </x:is>
      </x:c>
      <x:c r="D593" s="1" t="inlineStr">
        <x:is>
          <x:t xml:space="preserve">NOT_AVAILABLE</x:t>
        </x:is>
      </x:c>
      <x:c r="E593" s="5"/>
      <x:c r="F593" s="4">
        <x:v>0</x:v>
      </x:c>
      <x:c r="G593" s="4">
        <x:v>54469</x:v>
      </x:c>
      <x:c r="H593" s="6">
        <x:v>305.12</x:v>
      </x:c>
      <x:c r="I593" s="16">
        <x:v>1</x:v>
      </x:c>
      <x:c r="J593"/>
      <x:c r="K593" s="4"/>
      <x:c r="L593" s="4"/>
      <x:c r="M593" s="4"/>
      <x:c r="N593" s="5"/>
    </x:row>
    <x:row r="594" ht="24" customHeight="1">
      <x:c r="A594" s="1" t="inlineStr">
        <x:is>
          <x:t xml:space="preserve">RESULT</x:t>
        </x:is>
      </x:c>
      <x:c r="B594" s="1" t="inlineStr">
        <x:is>
          <x:t xml:space="preserve">Round1</x:t>
        </x:is>
      </x:c>
      <x:c r="C594" s="1" t="inlineStr">
        <x:is>
          <x:t xml:space="preserve">Jsoup_88</x:t>
        </x:is>
      </x:c>
      <x:c r="D594" s="1" t="inlineStr">
        <x:is>
          <x:t xml:space="preserve">NOT_REVEALING</x:t>
        </x:is>
      </x:c>
      <x:c r="E594" s="5">
        <x:v>0.8787999999999999</x:v>
      </x:c>
      <x:c r="F594" s="4">
        <x:v>0</x:v>
      </x:c>
      <x:c r="G594" s="4">
        <x:v>21258</x:v>
      </x:c>
      <x:c r="H594" s="6">
        <x:v>98.69</x:v>
      </x:c>
      <x:c r="I594" s="16">
        <x:v>1</x:v>
      </x:c>
      <x:c r="J594">
        <x:v>66</x:v>
      </x:c>
      <x:c r="K594" s="4">
        <x:v>58</x:v>
      </x:c>
      <x:c r="L594" s="4">
        <x:v>50</x:v>
      </x:c>
      <x:c r="M594" s="4">
        <x:v>36</x:v>
      </x:c>
      <x:c r="N594" s="5">
        <x:v>0.72</x:v>
      </x:c>
    </x:row>
    <x:row r="595" ht="24" customHeight="1">
      <x:c r="A595" s="1" t="inlineStr">
        <x:is>
          <x:t xml:space="preserve">RESULT</x:t>
        </x:is>
      </x:c>
      <x:c r="B595" s="1" t="inlineStr">
        <x:is>
          <x:t xml:space="preserve">Round1</x:t>
        </x:is>
      </x:c>
      <x:c r="C595" s="1" t="inlineStr">
        <x:is>
          <x:t xml:space="preserve">Jsoup_89</x:t>
        </x:is>
      </x:c>
      <x:c r="D595" s="1" t="inlineStr">
        <x:is>
          <x:t xml:space="preserve">INCONCLUSIVE</x:t>
        </x:is>
      </x:c>
      <x:c r="E595" s="5">
        <x:v>0.8939</x:v>
      </x:c>
      <x:c r="F595" s="4">
        <x:v>0</x:v>
      </x:c>
      <x:c r="G595" s="4">
        <x:v>27310</x:v>
      </x:c>
      <x:c r="H595" s="6">
        <x:v>140.35</x:v>
      </x:c>
      <x:c r="I595" s="16">
        <x:v>1</x:v>
      </x:c>
      <x:c r="J595">
        <x:v>66</x:v>
      </x:c>
      <x:c r="K595" s="4">
        <x:v>59</x:v>
      </x:c>
      <x:c r="L595" s="4">
        <x:v>50</x:v>
      </x:c>
      <x:c r="M595" s="4">
        <x:v>38</x:v>
      </x:c>
      <x:c r="N595" s="5">
        <x:v>0.76</x:v>
      </x:c>
    </x:row>
    <x:row r="596" ht="24" customHeight="1">
      <x:c r="A596" s="1" t="inlineStr">
        <x:is>
          <x:t xml:space="preserve">RESULT</x:t>
        </x:is>
      </x:c>
      <x:c r="B596" s="1" t="inlineStr">
        <x:is>
          <x:t xml:space="preserve">Round1</x:t>
        </x:is>
      </x:c>
      <x:c r="C596" s="1" t="inlineStr">
        <x:is>
          <x:t xml:space="preserve">Jsoup_9</x:t>
        </x:is>
      </x:c>
      <x:c r="D596" s="1" t="inlineStr">
        <x:is>
          <x:t xml:space="preserve">NOT_REVEALING</x:t>
        </x:is>
      </x:c>
      <x:c r="E596" s="5"/>
      <x:c r="F596" s="4">
        <x:v>0</x:v>
      </x:c>
      <x:c r="G596" s="4">
        <x:v>32365</x:v>
      </x:c>
      <x:c r="H596" s="6">
        <x:v>29.07</x:v>
      </x:c>
      <x:c r="I596" s="16">
        <x:v>1</x:v>
      </x:c>
      <x:c r="J596"/>
      <x:c r="K596" s="4"/>
      <x:c r="L596" s="4"/>
      <x:c r="M596" s="4"/>
      <x:c r="N596" s="5"/>
    </x:row>
    <x:row r="597" ht="24" customHeight="1">
      <x:c r="A597" s="1" t="inlineStr">
        <x:is>
          <x:t xml:space="preserve">RESULT</x:t>
        </x:is>
      </x:c>
      <x:c r="B597" s="1" t="inlineStr">
        <x:is>
          <x:t xml:space="preserve">Round1</x:t>
        </x:is>
      </x:c>
      <x:c r="C597" s="1" t="inlineStr">
        <x:is>
          <x:t xml:space="preserve">Jsoup_90</x:t>
        </x:is>
      </x:c>
      <x:c r="D597" s="1" t="inlineStr">
        <x:is>
          <x:t xml:space="preserve">NOT_AVAILABLE</x:t>
        </x:is>
      </x:c>
      <x:c r="E597" s="5"/>
      <x:c r="F597" s="4">
        <x:v>0</x:v>
      </x:c>
      <x:c r="G597" s="4">
        <x:v>46545</x:v>
      </x:c>
      <x:c r="H597" s="6">
        <x:v>195.28</x:v>
      </x:c>
      <x:c r="I597" s="16">
        <x:v>1</x:v>
      </x:c>
      <x:c r="J597"/>
      <x:c r="K597" s="4"/>
      <x:c r="L597" s="4"/>
      <x:c r="M597" s="4"/>
      <x:c r="N597" s="5"/>
    </x:row>
    <x:row r="598" ht="24" customHeight="1">
      <x:c r="A598" s="1" t="inlineStr">
        <x:is>
          <x:t xml:space="preserve">RESULT</x:t>
        </x:is>
      </x:c>
      <x:c r="B598" s="1" t="inlineStr">
        <x:is>
          <x:t xml:space="preserve">Round1</x:t>
        </x:is>
      </x:c>
      <x:c r="C598" s="1" t="inlineStr">
        <x:is>
          <x:t xml:space="preserve">Jsoup_91</x:t>
        </x:is>
      </x:c>
      <x:c r="D598" s="1" t="inlineStr">
        <x:is>
          <x:t xml:space="preserve">NOT_AVAILABLE</x:t>
        </x:is>
      </x:c>
      <x:c r="E598" s="5">
        <x:v>0.9478</x:v>
      </x:c>
      <x:c r="F598" s="4">
        <x:v>0</x:v>
      </x:c>
      <x:c r="G598" s="4">
        <x:v>39993</x:v>
      </x:c>
      <x:c r="H598" s="6">
        <x:v>190.97</x:v>
      </x:c>
      <x:c r="I598" s="16">
        <x:v>1</x:v>
      </x:c>
      <x:c r="J598">
        <x:v>249</x:v>
      </x:c>
      <x:c r="K598" s="4">
        <x:v>236</x:v>
      </x:c>
      <x:c r="L598" s="4">
        <x:v>190</x:v>
      </x:c>
      <x:c r="M598" s="4">
        <x:v>153</x:v>
      </x:c>
      <x:c r="N598" s="5">
        <x:v>0.8053</x:v>
      </x:c>
    </x:row>
    <x:row r="599" ht="24" customHeight="1">
      <x:c r="A599" s="1" t="inlineStr">
        <x:is>
          <x:t xml:space="preserve">RESULT</x:t>
        </x:is>
      </x:c>
      <x:c r="B599" s="1" t="inlineStr">
        <x:is>
          <x:t xml:space="preserve">Round1</x:t>
        </x:is>
      </x:c>
      <x:c r="C599" s="1" t="inlineStr">
        <x:is>
          <x:t xml:space="preserve">Jsoup_92</x:t>
        </x:is>
      </x:c>
      <x:c r="D599" s="1" t="inlineStr">
        <x:is>
          <x:t xml:space="preserve">NOT_AVAILABLE</x:t>
        </x:is>
      </x:c>
      <x:c r="E599" s="5"/>
      <x:c r="F599" s="4">
        <x:v>0</x:v>
      </x:c>
      <x:c r="G599" s="4">
        <x:v>89337</x:v>
      </x:c>
      <x:c r="H599" s="6">
        <x:v>429.8</x:v>
      </x:c>
      <x:c r="I599" s="16">
        <x:v>1</x:v>
      </x:c>
      <x:c r="J599"/>
      <x:c r="K599" s="4"/>
      <x:c r="L599" s="4"/>
      <x:c r="M599" s="4"/>
      <x:c r="N599" s="5"/>
    </x:row>
    <x:row r="600" ht="24" customHeight="1">
      <x:c r="A600" s="1" t="inlineStr">
        <x:is>
          <x:t xml:space="preserve">RESULT</x:t>
        </x:is>
      </x:c>
      <x:c r="B600" s="1" t="inlineStr">
        <x:is>
          <x:t xml:space="preserve">Round1</x:t>
        </x:is>
      </x:c>
      <x:c r="C600" s="1" t="inlineStr">
        <x:is>
          <x:t xml:space="preserve">Jsoup_93</x:t>
        </x:is>
      </x:c>
      <x:c r="D600" s="1" t="inlineStr">
        <x:is>
          <x:t xml:space="preserve">NOT_AVAILABLE</x:t>
        </x:is>
      </x:c>
      <x:c r="E600" s="5"/>
      <x:c r="F600" s="4">
        <x:v>0</x:v>
      </x:c>
      <x:c r="G600" s="4">
        <x:v>21809</x:v>
      </x:c>
      <x:c r="H600" s="6">
        <x:v>121.5</x:v>
      </x:c>
      <x:c r="I600" s="16">
        <x:v>1</x:v>
      </x:c>
      <x:c r="J600"/>
      <x:c r="K600" s="4"/>
      <x:c r="L600" s="4"/>
      <x:c r="M600" s="4"/>
      <x:c r="N600" s="5"/>
    </x:row>
    <x:row r="601" ht="24" customHeight="1">
      <x:c r="A601" s="1" t="inlineStr">
        <x:is>
          <x:t xml:space="preserve">RESULT</x:t>
        </x:is>
      </x:c>
      <x:c r="B601" s="1" t="inlineStr">
        <x:is>
          <x:t xml:space="preserve">Round1</x:t>
        </x:is>
      </x:c>
      <x:c r="C601" s="1" t="inlineStr">
        <x:is>
          <x:t xml:space="preserve">JxPath_1</x:t>
        </x:is>
      </x:c>
      <x:c r="D601" s="1" t="inlineStr">
        <x:is>
          <x:t xml:space="preserve">NOT_AVAILABLE</x:t>
        </x:is>
      </x:c>
      <x:c r="E601" s="5"/>
      <x:c r="F601" s="4">
        <x:v>0</x:v>
      </x:c>
      <x:c r="G601" s="4">
        <x:v>22734</x:v>
      </x:c>
      <x:c r="H601" s="6">
        <x:v>224.03</x:v>
      </x:c>
      <x:c r="I601" s="16">
        <x:v>1</x:v>
      </x:c>
      <x:c r="J601"/>
      <x:c r="K601" s="4"/>
      <x:c r="L601" s="4"/>
      <x:c r="M601" s="4"/>
      <x:c r="N601" s="5"/>
    </x:row>
    <x:row r="602" ht="24" customHeight="1">
      <x:c r="A602" s="1" t="inlineStr">
        <x:is>
          <x:t xml:space="preserve">RESULT</x:t>
        </x:is>
      </x:c>
      <x:c r="B602" s="1" t="inlineStr">
        <x:is>
          <x:t xml:space="preserve">Round1</x:t>
        </x:is>
      </x:c>
      <x:c r="C602" s="1" t="inlineStr">
        <x:is>
          <x:t xml:space="preserve">JxPath_10</x:t>
        </x:is>
      </x:c>
      <x:c r="D602" s="1" t="inlineStr">
        <x:is>
          <x:t xml:space="preserve">NOT_AVAILABLE</x:t>
        </x:is>
      </x:c>
      <x:c r="E602" s="5"/>
      <x:c r="F602" s="4">
        <x:v>0</x:v>
      </x:c>
      <x:c r="G602" s="4">
        <x:v>5181</x:v>
      </x:c>
      <x:c r="H602" s="6">
        <x:v>99.13</x:v>
      </x:c>
      <x:c r="I602" s="16">
        <x:v>1</x:v>
      </x:c>
      <x:c r="J602"/>
      <x:c r="K602" s="4"/>
      <x:c r="L602" s="4"/>
      <x:c r="M602" s="4"/>
      <x:c r="N602" s="5"/>
    </x:row>
    <x:row r="603" ht="24" customHeight="1">
      <x:c r="A603" s="1" t="inlineStr">
        <x:is>
          <x:t xml:space="preserve">RESULT</x:t>
        </x:is>
      </x:c>
      <x:c r="B603" s="1" t="inlineStr">
        <x:is>
          <x:t xml:space="preserve">Round1</x:t>
        </x:is>
      </x:c>
      <x:c r="C603" s="1" t="inlineStr">
        <x:is>
          <x:t xml:space="preserve">JxPath_11</x:t>
        </x:is>
      </x:c>
      <x:c r="D603" s="1" t="inlineStr">
        <x:is>
          <x:t xml:space="preserve">NOT_AVAILABLE</x:t>
        </x:is>
      </x:c>
      <x:c r="E603" s="5"/>
      <x:c r="F603" s="4">
        <x:v>0</x:v>
      </x:c>
      <x:c r="G603" s="4">
        <x:v>7708</x:v>
      </x:c>
      <x:c r="H603" s="6">
        <x:v>111.73</x:v>
      </x:c>
      <x:c r="I603" s="16">
        <x:v>1</x:v>
      </x:c>
      <x:c r="J603"/>
      <x:c r="K603" s="4"/>
      <x:c r="L603" s="4"/>
      <x:c r="M603" s="4"/>
      <x:c r="N603" s="5"/>
    </x:row>
    <x:row r="604" ht="24" customHeight="1">
      <x:c r="A604" s="1" t="inlineStr">
        <x:is>
          <x:t xml:space="preserve">RESULT</x:t>
        </x:is>
      </x:c>
      <x:c r="B604" s="1" t="inlineStr">
        <x:is>
          <x:t xml:space="preserve">Round1</x:t>
        </x:is>
      </x:c>
      <x:c r="C604" s="1" t="inlineStr">
        <x:is>
          <x:t xml:space="preserve">JxPath_12</x:t>
        </x:is>
      </x:c>
      <x:c r="D604" s="1" t="inlineStr">
        <x:is>
          <x:t xml:space="preserve">NOT_AVAILABLE</x:t>
        </x:is>
      </x:c>
      <x:c r="E604" s="5"/>
      <x:c r="F604" s="4">
        <x:v>0</x:v>
      </x:c>
      <x:c r="G604" s="4">
        <x:v>9181</x:v>
      </x:c>
      <x:c r="H604" s="6">
        <x:v>88.43</x:v>
      </x:c>
      <x:c r="I604" s="16">
        <x:v>1</x:v>
      </x:c>
      <x:c r="J604"/>
      <x:c r="K604" s="4"/>
      <x:c r="L604" s="4"/>
      <x:c r="M604" s="4"/>
      <x:c r="N604" s="5"/>
    </x:row>
    <x:row r="605" ht="24" customHeight="1">
      <x:c r="A605" s="1" t="inlineStr">
        <x:is>
          <x:t xml:space="preserve">RESULT</x:t>
        </x:is>
      </x:c>
      <x:c r="B605" s="1" t="inlineStr">
        <x:is>
          <x:t xml:space="preserve">Round1</x:t>
        </x:is>
      </x:c>
      <x:c r="C605" s="1" t="inlineStr">
        <x:is>
          <x:t xml:space="preserve">JxPath_13</x:t>
        </x:is>
      </x:c>
      <x:c r="D605" s="1" t="inlineStr">
        <x:is>
          <x:t xml:space="preserve">NOT_AVAILABLE</x:t>
        </x:is>
      </x:c>
      <x:c r="E605" s="5"/>
      <x:c r="F605" s="4">
        <x:v>0</x:v>
      </x:c>
      <x:c r="G605" s="4">
        <x:v>17302</x:v>
      </x:c>
      <x:c r="H605" s="6">
        <x:v>276.36</x:v>
      </x:c>
      <x:c r="I605" s="16">
        <x:v>1</x:v>
      </x:c>
      <x:c r="J605"/>
      <x:c r="K605" s="4"/>
      <x:c r="L605" s="4"/>
      <x:c r="M605" s="4"/>
      <x:c r="N605" s="5"/>
    </x:row>
    <x:row r="606" ht="24" customHeight="1">
      <x:c r="A606" s="1" t="inlineStr">
        <x:is>
          <x:t xml:space="preserve">RESULT</x:t>
        </x:is>
      </x:c>
      <x:c r="B606" s="1" t="inlineStr">
        <x:is>
          <x:t xml:space="preserve">Round1</x:t>
        </x:is>
      </x:c>
      <x:c r="C606" s="1" t="inlineStr">
        <x:is>
          <x:t xml:space="preserve">JxPath_14</x:t>
        </x:is>
      </x:c>
      <x:c r="D606" s="1" t="inlineStr">
        <x:is>
          <x:t xml:space="preserve">NOT_AVAILABLE</x:t>
        </x:is>
      </x:c>
      <x:c r="E606" s="5"/>
      <x:c r="F606" s="4">
        <x:v>0</x:v>
      </x:c>
      <x:c r="G606" s="4">
        <x:v>10091</x:v>
      </x:c>
      <x:c r="H606" s="6">
        <x:v>112.71</x:v>
      </x:c>
      <x:c r="I606" s="16">
        <x:v>1</x:v>
      </x:c>
      <x:c r="J606"/>
      <x:c r="K606" s="4"/>
      <x:c r="L606" s="4"/>
      <x:c r="M606" s="4"/>
      <x:c r="N606" s="5"/>
    </x:row>
    <x:row r="607" ht="24" customHeight="1">
      <x:c r="A607" s="1" t="inlineStr">
        <x:is>
          <x:t xml:space="preserve">RESULT</x:t>
        </x:is>
      </x:c>
      <x:c r="B607" s="1" t="inlineStr">
        <x:is>
          <x:t xml:space="preserve">Round1</x:t>
        </x:is>
      </x:c>
      <x:c r="C607" s="1" t="inlineStr">
        <x:is>
          <x:t xml:space="preserve">JxPath_15</x:t>
        </x:is>
      </x:c>
      <x:c r="D607" s="1" t="inlineStr">
        <x:is>
          <x:t xml:space="preserve">NOT_AVAILABLE</x:t>
        </x:is>
      </x:c>
      <x:c r="E607" s="5"/>
      <x:c r="F607" s="4">
        <x:v>0</x:v>
      </x:c>
      <x:c r="G607" s="4">
        <x:v>3198</x:v>
      </x:c>
      <x:c r="H607" s="6">
        <x:v>47.08</x:v>
      </x:c>
      <x:c r="I607" s="16">
        <x:v>1</x:v>
      </x:c>
      <x:c r="J607"/>
      <x:c r="K607" s="4"/>
      <x:c r="L607" s="4"/>
      <x:c r="M607" s="4"/>
      <x:c r="N607" s="5"/>
    </x:row>
    <x:row r="608" ht="24" customHeight="1">
      <x:c r="A608" s="1" t="inlineStr">
        <x:is>
          <x:t xml:space="preserve">RESULT</x:t>
        </x:is>
      </x:c>
      <x:c r="B608" s="1" t="inlineStr">
        <x:is>
          <x:t xml:space="preserve">Round1</x:t>
        </x:is>
      </x:c>
      <x:c r="C608" s="1" t="inlineStr">
        <x:is>
          <x:t xml:space="preserve">JxPath_16</x:t>
        </x:is>
      </x:c>
      <x:c r="D608" s="1" t="inlineStr">
        <x:is>
          <x:t xml:space="preserve">NOT_AVAILABLE</x:t>
        </x:is>
      </x:c>
      <x:c r="E608" s="5"/>
      <x:c r="F608" s="4">
        <x:v>0</x:v>
      </x:c>
      <x:c r="G608" s="4">
        <x:v>17107</x:v>
      </x:c>
      <x:c r="H608" s="6">
        <x:v>162.88</x:v>
      </x:c>
      <x:c r="I608" s="16">
        <x:v>1</x:v>
      </x:c>
      <x:c r="J608"/>
      <x:c r="K608" s="4"/>
      <x:c r="L608" s="4"/>
      <x:c r="M608" s="4"/>
      <x:c r="N608" s="5"/>
    </x:row>
    <x:row r="609" ht="24" customHeight="1">
      <x:c r="A609" s="1" t="inlineStr">
        <x:is>
          <x:t xml:space="preserve">RESULT</x:t>
        </x:is>
      </x:c>
      <x:c r="B609" s="1" t="inlineStr">
        <x:is>
          <x:t xml:space="preserve">Round1</x:t>
        </x:is>
      </x:c>
      <x:c r="C609" s="1" t="inlineStr">
        <x:is>
          <x:t xml:space="preserve">JxPath_17</x:t>
        </x:is>
      </x:c>
      <x:c r="D609" s="1" t="inlineStr">
        <x:is>
          <x:t xml:space="preserve">NOT_AVAILABLE</x:t>
        </x:is>
      </x:c>
      <x:c r="E609" s="5"/>
      <x:c r="F609" s="4">
        <x:v>0</x:v>
      </x:c>
      <x:c r="G609" s="4">
        <x:v>15945</x:v>
      </x:c>
      <x:c r="H609" s="6">
        <x:v>145.13</x:v>
      </x:c>
      <x:c r="I609" s="16">
        <x:v>1</x:v>
      </x:c>
      <x:c r="J609"/>
      <x:c r="K609" s="4"/>
      <x:c r="L609" s="4"/>
      <x:c r="M609" s="4"/>
      <x:c r="N609" s="5"/>
    </x:row>
    <x:row r="610" ht="24" customHeight="1">
      <x:c r="A610" s="1" t="inlineStr">
        <x:is>
          <x:t xml:space="preserve">RESULT</x:t>
        </x:is>
      </x:c>
      <x:c r="B610" s="1" t="inlineStr">
        <x:is>
          <x:t xml:space="preserve">Round1</x:t>
        </x:is>
      </x:c>
      <x:c r="C610" s="1" t="inlineStr">
        <x:is>
          <x:t xml:space="preserve">JxPath_18</x:t>
        </x:is>
      </x:c>
      <x:c r="D610" s="1" t="inlineStr">
        <x:is>
          <x:t xml:space="preserve">NOT_AVAILABLE</x:t>
        </x:is>
      </x:c>
      <x:c r="E610" s="5"/>
      <x:c r="F610" s="4">
        <x:v>0</x:v>
      </x:c>
      <x:c r="G610" s="4">
        <x:v>2954</x:v>
      </x:c>
      <x:c r="H610" s="6">
        <x:v>31.09</x:v>
      </x:c>
      <x:c r="I610" s="16">
        <x:v>1</x:v>
      </x:c>
      <x:c r="J610"/>
      <x:c r="K610" s="4"/>
      <x:c r="L610" s="4"/>
      <x:c r="M610" s="4"/>
      <x:c r="N610" s="5"/>
    </x:row>
    <x:row r="611" ht="24" customHeight="1">
      <x:c r="A611" s="1" t="inlineStr">
        <x:is>
          <x:t xml:space="preserve">RESULT</x:t>
        </x:is>
      </x:c>
      <x:c r="B611" s="1" t="inlineStr">
        <x:is>
          <x:t xml:space="preserve">Round1</x:t>
        </x:is>
      </x:c>
      <x:c r="C611" s="1" t="inlineStr">
        <x:is>
          <x:t xml:space="preserve">JxPath_19</x:t>
        </x:is>
      </x:c>
      <x:c r="D611" s="1" t="inlineStr">
        <x:is>
          <x:t xml:space="preserve">NOT_AVAILABLE</x:t>
        </x:is>
      </x:c>
      <x:c r="E611" s="5"/>
      <x:c r="F611" s="4">
        <x:v>0</x:v>
      </x:c>
      <x:c r="G611" s="4">
        <x:v>19166</x:v>
      </x:c>
      <x:c r="H611" s="6">
        <x:v>233.31</x:v>
      </x:c>
      <x:c r="I611" s="16">
        <x:v>1</x:v>
      </x:c>
      <x:c r="J611"/>
      <x:c r="K611" s="4"/>
      <x:c r="L611" s="4"/>
      <x:c r="M611" s="4"/>
      <x:c r="N611" s="5"/>
    </x:row>
    <x:row r="612" ht="24" customHeight="1">
      <x:c r="A612" s="1" t="inlineStr">
        <x:is>
          <x:t xml:space="preserve">RESULT</x:t>
        </x:is>
      </x:c>
      <x:c r="B612" s="1" t="inlineStr">
        <x:is>
          <x:t xml:space="preserve">Round1</x:t>
        </x:is>
      </x:c>
      <x:c r="C612" s="1" t="inlineStr">
        <x:is>
          <x:t xml:space="preserve">JxPath_2</x:t>
        </x:is>
      </x:c>
      <x:c r="D612" s="1" t="inlineStr">
        <x:is>
          <x:t xml:space="preserve">NOT_AVAILABLE</x:t>
        </x:is>
      </x:c>
      <x:c r="E612" s="5"/>
      <x:c r="F612" s="4">
        <x:v>0</x:v>
      </x:c>
      <x:c r="G612" s="4">
        <x:v>5187</x:v>
      </x:c>
      <x:c r="H612" s="6">
        <x:v>97.2</x:v>
      </x:c>
      <x:c r="I612" s="16">
        <x:v>1</x:v>
      </x:c>
      <x:c r="J612"/>
      <x:c r="K612" s="4"/>
      <x:c r="L612" s="4"/>
      <x:c r="M612" s="4"/>
      <x:c r="N612" s="5"/>
    </x:row>
    <x:row r="613" ht="24" customHeight="1">
      <x:c r="A613" s="1" t="inlineStr">
        <x:is>
          <x:t xml:space="preserve">RESULT</x:t>
        </x:is>
      </x:c>
      <x:c r="B613" s="1" t="inlineStr">
        <x:is>
          <x:t xml:space="preserve">Round1</x:t>
        </x:is>
      </x:c>
      <x:c r="C613" s="1" t="inlineStr">
        <x:is>
          <x:t xml:space="preserve">JxPath_20</x:t>
        </x:is>
      </x:c>
      <x:c r="D613" s="1" t="inlineStr">
        <x:is>
          <x:t xml:space="preserve">NOT_AVAILABLE</x:t>
        </x:is>
      </x:c>
      <x:c r="E613" s="5"/>
      <x:c r="F613" s="4">
        <x:v>0</x:v>
      </x:c>
      <x:c r="G613" s="4">
        <x:v>9760</x:v>
      </x:c>
      <x:c r="H613" s="6">
        <x:v>268.33</x:v>
      </x:c>
      <x:c r="I613" s="16">
        <x:v>1</x:v>
      </x:c>
      <x:c r="J613"/>
      <x:c r="K613" s="4"/>
      <x:c r="L613" s="4"/>
      <x:c r="M613" s="4"/>
      <x:c r="N613" s="5"/>
    </x:row>
    <x:row r="614" ht="24" customHeight="1">
      <x:c r="A614" s="1" t="inlineStr">
        <x:is>
          <x:t xml:space="preserve">RESULT</x:t>
        </x:is>
      </x:c>
      <x:c r="B614" s="1" t="inlineStr">
        <x:is>
          <x:t xml:space="preserve">Round1</x:t>
        </x:is>
      </x:c>
      <x:c r="C614" s="1" t="inlineStr">
        <x:is>
          <x:t xml:space="preserve">JxPath_21</x:t>
        </x:is>
      </x:c>
      <x:c r="D614" s="1" t="inlineStr">
        <x:is>
          <x:t xml:space="preserve">NOT_AVAILABLE</x:t>
        </x:is>
      </x:c>
      <x:c r="E614" s="5"/>
      <x:c r="F614" s="4">
        <x:v>0</x:v>
      </x:c>
      <x:c r="G614" s="4">
        <x:v>4905</x:v>
      </x:c>
      <x:c r="H614" s="6">
        <x:v>71.84</x:v>
      </x:c>
      <x:c r="I614" s="16">
        <x:v>1</x:v>
      </x:c>
      <x:c r="J614"/>
      <x:c r="K614" s="4"/>
      <x:c r="L614" s="4"/>
      <x:c r="M614" s="4"/>
      <x:c r="N614" s="5"/>
    </x:row>
    <x:row r="615" ht="24" customHeight="1">
      <x:c r="A615" s="1" t="inlineStr">
        <x:is>
          <x:t xml:space="preserve">RESULT</x:t>
        </x:is>
      </x:c>
      <x:c r="B615" s="1" t="inlineStr">
        <x:is>
          <x:t xml:space="preserve">Round1</x:t>
        </x:is>
      </x:c>
      <x:c r="C615" s="1" t="inlineStr">
        <x:is>
          <x:t xml:space="preserve">JxPath_22</x:t>
        </x:is>
      </x:c>
      <x:c r="D615" s="1" t="inlineStr">
        <x:is>
          <x:t xml:space="preserve">NOT_AVAILABLE</x:t>
        </x:is>
      </x:c>
      <x:c r="E615" s="5"/>
      <x:c r="F615" s="4">
        <x:v>0</x:v>
      </x:c>
      <x:c r="G615" s="4">
        <x:v>9275</x:v>
      </x:c>
      <x:c r="H615" s="6">
        <x:v>108.72</x:v>
      </x:c>
      <x:c r="I615" s="16">
        <x:v>1</x:v>
      </x:c>
      <x:c r="J615"/>
      <x:c r="K615" s="4"/>
      <x:c r="L615" s="4"/>
      <x:c r="M615" s="4"/>
      <x:c r="N615" s="5"/>
    </x:row>
    <x:row r="616" ht="24" customHeight="1">
      <x:c r="A616" s="1" t="inlineStr">
        <x:is>
          <x:t xml:space="preserve">RESULT</x:t>
        </x:is>
      </x:c>
      <x:c r="B616" s="1" t="inlineStr">
        <x:is>
          <x:t xml:space="preserve">Round1</x:t>
        </x:is>
      </x:c>
      <x:c r="C616" s="1" t="inlineStr">
        <x:is>
          <x:t xml:space="preserve">JxPath_3</x:t>
        </x:is>
      </x:c>
      <x:c r="D616" s="1" t="inlineStr">
        <x:is>
          <x:t xml:space="preserve">NOT_AVAILABLE</x:t>
        </x:is>
      </x:c>
      <x:c r="E616" s="5"/>
      <x:c r="F616" s="4">
        <x:v>0</x:v>
      </x:c>
      <x:c r="G616" s="4">
        <x:v>4963</x:v>
      </x:c>
      <x:c r="H616" s="6">
        <x:v>74.92</x:v>
      </x:c>
      <x:c r="I616" s="16">
        <x:v>1</x:v>
      </x:c>
      <x:c r="J616"/>
      <x:c r="K616" s="4"/>
      <x:c r="L616" s="4"/>
      <x:c r="M616" s="4"/>
      <x:c r="N616" s="5"/>
    </x:row>
    <x:row r="617" ht="24" customHeight="1">
      <x:c r="A617" s="1" t="inlineStr">
        <x:is>
          <x:t xml:space="preserve">RESULT</x:t>
        </x:is>
      </x:c>
      <x:c r="B617" s="1" t="inlineStr">
        <x:is>
          <x:t xml:space="preserve">Round1</x:t>
        </x:is>
      </x:c>
      <x:c r="C617" s="1" t="inlineStr">
        <x:is>
          <x:t xml:space="preserve">JxPath_4</x:t>
        </x:is>
      </x:c>
      <x:c r="D617" s="1" t="inlineStr">
        <x:is>
          <x:t xml:space="preserve">NOT_AVAILABLE</x:t>
        </x:is>
      </x:c>
      <x:c r="E617" s="5"/>
      <x:c r="F617" s="4">
        <x:v>0</x:v>
      </x:c>
      <x:c r="G617" s="4">
        <x:v>16807</x:v>
      </x:c>
      <x:c r="H617" s="6">
        <x:v>142.58</x:v>
      </x:c>
      <x:c r="I617" s="16">
        <x:v>1</x:v>
      </x:c>
      <x:c r="J617"/>
      <x:c r="K617" s="4"/>
      <x:c r="L617" s="4"/>
      <x:c r="M617" s="4"/>
      <x:c r="N617" s="5"/>
    </x:row>
    <x:row r="618" ht="24" customHeight="1">
      <x:c r="A618" s="1" t="inlineStr">
        <x:is>
          <x:t xml:space="preserve">RESULT</x:t>
        </x:is>
      </x:c>
      <x:c r="B618" s="1" t="inlineStr">
        <x:is>
          <x:t xml:space="preserve">Round1</x:t>
        </x:is>
      </x:c>
      <x:c r="C618" s="1" t="inlineStr">
        <x:is>
          <x:t xml:space="preserve">JxPath_5</x:t>
        </x:is>
      </x:c>
      <x:c r="D618" s="1" t="inlineStr">
        <x:is>
          <x:t xml:space="preserve">NOT_AVAILABLE</x:t>
        </x:is>
      </x:c>
      <x:c r="E618" s="5"/>
      <x:c r="F618" s="4">
        <x:v>0</x:v>
      </x:c>
      <x:c r="G618" s="4">
        <x:v>8281</x:v>
      </x:c>
      <x:c r="H618" s="6">
        <x:v>65.51</x:v>
      </x:c>
      <x:c r="I618" s="16">
        <x:v>1</x:v>
      </x:c>
      <x:c r="J618"/>
      <x:c r="K618" s="4"/>
      <x:c r="L618" s="4"/>
      <x:c r="M618" s="4"/>
      <x:c r="N618" s="5"/>
    </x:row>
    <x:row r="619" ht="24" customHeight="1">
      <x:c r="A619" s="1" t="inlineStr">
        <x:is>
          <x:t xml:space="preserve">RESULT</x:t>
        </x:is>
      </x:c>
      <x:c r="B619" s="1" t="inlineStr">
        <x:is>
          <x:t xml:space="preserve">Round1</x:t>
        </x:is>
      </x:c>
      <x:c r="C619" s="1" t="inlineStr">
        <x:is>
          <x:t xml:space="preserve">JxPath_6</x:t>
        </x:is>
      </x:c>
      <x:c r="D619" s="1" t="inlineStr">
        <x:is>
          <x:t xml:space="preserve">NOT_AVAILABLE</x:t>
        </x:is>
      </x:c>
      <x:c r="E619" s="5"/>
      <x:c r="F619" s="4">
        <x:v>0</x:v>
      </x:c>
      <x:c r="G619" s="4">
        <x:v>5016</x:v>
      </x:c>
      <x:c r="H619" s="6">
        <x:v>94.23</x:v>
      </x:c>
      <x:c r="I619" s="16">
        <x:v>1</x:v>
      </x:c>
      <x:c r="J619"/>
      <x:c r="K619" s="4"/>
      <x:c r="L619" s="4"/>
      <x:c r="M619" s="4"/>
      <x:c r="N619" s="5"/>
    </x:row>
    <x:row r="620" ht="24" customHeight="1">
      <x:c r="A620" s="1" t="inlineStr">
        <x:is>
          <x:t xml:space="preserve">RESULT</x:t>
        </x:is>
      </x:c>
      <x:c r="B620" s="1" t="inlineStr">
        <x:is>
          <x:t xml:space="preserve">Round1</x:t>
        </x:is>
      </x:c>
      <x:c r="C620" s="1" t="inlineStr">
        <x:is>
          <x:t xml:space="preserve">JxPath_7</x:t>
        </x:is>
      </x:c>
      <x:c r="D620" s="1" t="inlineStr">
        <x:is>
          <x:t xml:space="preserve">NOT_AVAILABLE</x:t>
        </x:is>
      </x:c>
      <x:c r="E620" s="5"/>
      <x:c r="F620" s="4">
        <x:v>0</x:v>
      </x:c>
      <x:c r="G620" s="4">
        <x:v>14930</x:v>
      </x:c>
      <x:c r="H620" s="6">
        <x:v>231.84</x:v>
      </x:c>
      <x:c r="I620" s="16">
        <x:v>1</x:v>
      </x:c>
      <x:c r="J620"/>
      <x:c r="K620" s="4"/>
      <x:c r="L620" s="4"/>
      <x:c r="M620" s="4"/>
      <x:c r="N620" s="5"/>
    </x:row>
    <x:row r="621" ht="24" customHeight="1">
      <x:c r="A621" s="1" t="inlineStr">
        <x:is>
          <x:t xml:space="preserve">RESULT</x:t>
        </x:is>
      </x:c>
      <x:c r="B621" s="1" t="inlineStr">
        <x:is>
          <x:t xml:space="preserve">Round1</x:t>
        </x:is>
      </x:c>
      <x:c r="C621" s="1" t="inlineStr">
        <x:is>
          <x:t xml:space="preserve">JxPath_8</x:t>
        </x:is>
      </x:c>
      <x:c r="D621" s="1" t="inlineStr">
        <x:is>
          <x:t xml:space="preserve">NOT_AVAILABLE</x:t>
        </x:is>
      </x:c>
      <x:c r="E621" s="5"/>
      <x:c r="F621" s="4">
        <x:v>0</x:v>
      </x:c>
      <x:c r="G621" s="4">
        <x:v>3748</x:v>
      </x:c>
      <x:c r="H621" s="6">
        <x:v>57.11</x:v>
      </x:c>
      <x:c r="I621" s="16">
        <x:v>1</x:v>
      </x:c>
      <x:c r="J621"/>
      <x:c r="K621" s="4"/>
      <x:c r="L621" s="4"/>
      <x:c r="M621" s="4"/>
      <x:c r="N621" s="5"/>
    </x:row>
    <x:row r="622" ht="24" customHeight="1">
      <x:c r="A622" s="1" t="inlineStr">
        <x:is>
          <x:t xml:space="preserve">RESULT</x:t>
        </x:is>
      </x:c>
      <x:c r="B622" s="1" t="inlineStr">
        <x:is>
          <x:t xml:space="preserve">Round1</x:t>
        </x:is>
      </x:c>
      <x:c r="C622" s="1" t="inlineStr">
        <x:is>
          <x:t xml:space="preserve">JxPath_9</x:t>
        </x:is>
      </x:c>
      <x:c r="D622" s="1" t="inlineStr">
        <x:is>
          <x:t xml:space="preserve">NOT_AVAILABLE</x:t>
        </x:is>
      </x:c>
      <x:c r="E622" s="5"/>
      <x:c r="F622" s="4">
        <x:v>0</x:v>
      </x:c>
      <x:c r="G622" s="4">
        <x:v>12089</x:v>
      </x:c>
      <x:c r="H622" s="6">
        <x:v>254.45</x:v>
      </x:c>
      <x:c r="I622" s="16">
        <x:v>1</x:v>
      </x:c>
      <x:c r="J622"/>
      <x:c r="K622" s="4"/>
      <x:c r="L622" s="4"/>
      <x:c r="M622" s="4"/>
      <x:c r="N622" s="5"/>
    </x:row>
    <x:row r="623" ht="24" customHeight="1">
      <x:c r="A623" s="1" t="inlineStr">
        <x:is>
          <x:t xml:space="preserve">RESULT</x:t>
        </x:is>
      </x:c>
      <x:c r="B623" s="1" t="inlineStr">
        <x:is>
          <x:t xml:space="preserve">Round1</x:t>
        </x:is>
      </x:c>
      <x:c r="C623" s="1" t="inlineStr">
        <x:is>
          <x:t xml:space="preserve">Lang_1</x:t>
        </x:is>
      </x:c>
      <x:c r="D623" s="1" t="inlineStr">
        <x:is>
          <x:t xml:space="preserve">NOT_AVAILABLE</x:t>
        </x:is>
      </x:c>
      <x:c r="E623" s="5"/>
      <x:c r="F623" s="4">
        <x:v>0</x:v>
      </x:c>
      <x:c r="G623" s="4">
        <x:v>8985</x:v>
      </x:c>
      <x:c r="H623" s="6">
        <x:v>97.82</x:v>
      </x:c>
      <x:c r="I623" s="16">
        <x:v>1</x:v>
      </x:c>
      <x:c r="J623"/>
      <x:c r="K623" s="4"/>
      <x:c r="L623" s="4"/>
      <x:c r="M623" s="4"/>
      <x:c r="N623" s="5"/>
    </x:row>
    <x:row r="624" ht="24" customHeight="1">
      <x:c r="A624" s="1" t="inlineStr">
        <x:is>
          <x:t xml:space="preserve">RESULT</x:t>
        </x:is>
      </x:c>
      <x:c r="B624" s="1" t="inlineStr">
        <x:is>
          <x:t xml:space="preserve">Round1</x:t>
        </x:is>
      </x:c>
      <x:c r="C624" s="1" t="inlineStr">
        <x:is>
          <x:t xml:space="preserve">Lang_10</x:t>
        </x:is>
      </x:c>
      <x:c r="D624" s="1" t="inlineStr">
        <x:is>
          <x:t xml:space="preserve">NOT_REVEALING</x:t>
        </x:is>
      </x:c>
      <x:c r="E624" s="5">
        <x:v>0.8172</x:v>
      </x:c>
      <x:c r="F624" s="4">
        <x:v>0</x:v>
      </x:c>
      <x:c r="G624" s="4">
        <x:v>15957</x:v>
      </x:c>
      <x:c r="H624" s="6">
        <x:v>171.81</x:v>
      </x:c>
      <x:c r="I624" s="16">
        <x:v>1</x:v>
      </x:c>
      <x:c r="J624">
        <x:v>279</x:v>
      </x:c>
      <x:c r="K624" s="4">
        <x:v>228</x:v>
      </x:c>
      <x:c r="L624" s="4">
        <x:v>127</x:v>
      </x:c>
      <x:c r="M624" s="4">
        <x:v>88</x:v>
      </x:c>
      <x:c r="N624" s="5">
        <x:v>0.6929000000000001</x:v>
      </x:c>
    </x:row>
    <x:row r="625" ht="24" customHeight="1">
      <x:c r="A625" s="1" t="inlineStr">
        <x:is>
          <x:t xml:space="preserve">RESULT</x:t>
        </x:is>
      </x:c>
      <x:c r="B625" s="1" t="inlineStr">
        <x:is>
          <x:t xml:space="preserve">Round1</x:t>
        </x:is>
      </x:c>
      <x:c r="C625" s="1" t="inlineStr">
        <x:is>
          <x:t xml:space="preserve">Lang_11</x:t>
        </x:is>
      </x:c>
      <x:c r="D625" s="1" t="inlineStr">
        <x:is>
          <x:t xml:space="preserve">NOT_AVAILABLE</x:t>
        </x:is>
      </x:c>
      <x:c r="E625" s="5"/>
      <x:c r="F625" s="4">
        <x:v>0</x:v>
      </x:c>
      <x:c r="G625" s="4">
        <x:v>5728</x:v>
      </x:c>
      <x:c r="H625" s="6">
        <x:v>49.65</x:v>
      </x:c>
      <x:c r="I625" s="16">
        <x:v>1</x:v>
      </x:c>
      <x:c r="J625"/>
      <x:c r="K625" s="4"/>
      <x:c r="L625" s="4"/>
      <x:c r="M625" s="4"/>
      <x:c r="N625" s="5"/>
    </x:row>
    <x:row r="626" ht="24" customHeight="1">
      <x:c r="A626" s="1" t="inlineStr">
        <x:is>
          <x:t xml:space="preserve">RESULT</x:t>
        </x:is>
      </x:c>
      <x:c r="B626" s="1" t="inlineStr">
        <x:is>
          <x:t xml:space="preserve">Round1</x:t>
        </x:is>
      </x:c>
      <x:c r="C626" s="1" t="inlineStr">
        <x:is>
          <x:t xml:space="preserve">Lang_12</x:t>
        </x:is>
      </x:c>
      <x:c r="D626" s="1" t="inlineStr">
        <x:is>
          <x:t xml:space="preserve">NOT_AVAILABLE</x:t>
        </x:is>
      </x:c>
      <x:c r="E626" s="5"/>
      <x:c r="F626" s="4">
        <x:v>0</x:v>
      </x:c>
      <x:c r="G626" s="4">
        <x:v>5412</x:v>
      </x:c>
      <x:c r="H626" s="6">
        <x:v>42.18</x:v>
      </x:c>
      <x:c r="I626" s="16">
        <x:v>1</x:v>
      </x:c>
      <x:c r="J626"/>
      <x:c r="K626" s="4"/>
      <x:c r="L626" s="4"/>
      <x:c r="M626" s="4"/>
      <x:c r="N626" s="5"/>
    </x:row>
    <x:row r="627" ht="24" customHeight="1">
      <x:c r="A627" s="1" t="inlineStr">
        <x:is>
          <x:t xml:space="preserve">RESULT</x:t>
        </x:is>
      </x:c>
      <x:c r="B627" s="1" t="inlineStr">
        <x:is>
          <x:t xml:space="preserve">Round1</x:t>
        </x:is>
      </x:c>
      <x:c r="C627" s="1" t="inlineStr">
        <x:is>
          <x:t xml:space="preserve">Lang_13</x:t>
        </x:is>
      </x:c>
      <x:c r="D627" s="1" t="inlineStr">
        <x:is>
          <x:t xml:space="preserve">INCONCLUSIVE</x:t>
        </x:is>
      </x:c>
      <x:c r="E627" s="5">
        <x:v>0.6875</x:v>
      </x:c>
      <x:c r="F627" s="4">
        <x:v>0</x:v>
      </x:c>
      <x:c r="G627" s="4">
        <x:v>5643</x:v>
      </x:c>
      <x:c r="H627" s="6">
        <x:v>69.24</x:v>
      </x:c>
      <x:c r="I627" s="16">
        <x:v>1</x:v>
      </x:c>
      <x:c r="J627">
        <x:v>64</x:v>
      </x:c>
      <x:c r="K627" s="4">
        <x:v>44</x:v>
      </x:c>
      <x:c r="L627" s="4">
        <x:v>14</x:v>
      </x:c>
      <x:c r="M627" s="4">
        <x:v>12</x:v>
      </x:c>
      <x:c r="N627" s="5">
        <x:v>0.8571</x:v>
      </x:c>
    </x:row>
    <x:row r="628" ht="24" customHeight="1">
      <x:c r="A628" s="1" t="inlineStr">
        <x:is>
          <x:t xml:space="preserve">RESULT</x:t>
        </x:is>
      </x:c>
      <x:c r="B628" s="1" t="inlineStr">
        <x:is>
          <x:t xml:space="preserve">Round1</x:t>
        </x:is>
      </x:c>
      <x:c r="C628" s="1" t="inlineStr">
        <x:is>
          <x:t xml:space="preserve">Lang_14</x:t>
        </x:is>
      </x:c>
      <x:c r="D628" s="1" t="inlineStr">
        <x:is>
          <x:t xml:space="preserve">NOT_AVAILABLE</x:t>
        </x:is>
      </x:c>
      <x:c r="E628" s="5"/>
      <x:c r="F628" s="4">
        <x:v>0</x:v>
      </x:c>
      <x:c r="G628" s="4">
        <x:v>23208</x:v>
      </x:c>
      <x:c r="H628" s="6">
        <x:v>173.52</x:v>
      </x:c>
      <x:c r="I628" s="16">
        <x:v>1</x:v>
      </x:c>
      <x:c r="J628"/>
      <x:c r="K628" s="4"/>
      <x:c r="L628" s="4"/>
      <x:c r="M628" s="4"/>
      <x:c r="N628" s="5"/>
    </x:row>
    <x:row r="629" ht="24" customHeight="1">
      <x:c r="A629" s="1" t="inlineStr">
        <x:is>
          <x:t xml:space="preserve">RESULT</x:t>
        </x:is>
      </x:c>
      <x:c r="B629" s="1" t="inlineStr">
        <x:is>
          <x:t xml:space="preserve">Round1</x:t>
        </x:is>
      </x:c>
      <x:c r="C629" s="1" t="inlineStr">
        <x:is>
          <x:t xml:space="preserve">Lang_15</x:t>
        </x:is>
      </x:c>
      <x:c r="D629" s="1" t="inlineStr">
        <x:is>
          <x:t xml:space="preserve">NOT_AVAILABLE</x:t>
        </x:is>
      </x:c>
      <x:c r="E629" s="5"/>
      <x:c r="F629" s="4">
        <x:v>0</x:v>
      </x:c>
      <x:c r="G629" s="4">
        <x:v>7706</x:v>
      </x:c>
      <x:c r="H629" s="6">
        <x:v>60.41</x:v>
      </x:c>
      <x:c r="I629" s="16">
        <x:v>1</x:v>
      </x:c>
      <x:c r="J629"/>
      <x:c r="K629" s="4"/>
      <x:c r="L629" s="4"/>
      <x:c r="M629" s="4"/>
      <x:c r="N629" s="5"/>
    </x:row>
    <x:row r="630" ht="24" customHeight="1">
      <x:c r="A630" s="1" t="inlineStr">
        <x:is>
          <x:t xml:space="preserve">RESULT</x:t>
        </x:is>
      </x:c>
      <x:c r="B630" s="1" t="inlineStr">
        <x:is>
          <x:t xml:space="preserve">Round1</x:t>
        </x:is>
      </x:c>
      <x:c r="C630" s="1" t="inlineStr">
        <x:is>
          <x:t xml:space="preserve">Lang_16</x:t>
        </x:is>
      </x:c>
      <x:c r="D630" s="1" t="inlineStr">
        <x:is>
          <x:t xml:space="preserve">INCONCLUSIVE</x:t>
        </x:is>
      </x:c>
      <x:c r="E630" s="5">
        <x:v>0.7733</x:v>
      </x:c>
      <x:c r="F630" s="4">
        <x:v>0</x:v>
      </x:c>
      <x:c r="G630" s="4">
        <x:v>8821</x:v>
      </x:c>
      <x:c r="H630" s="6">
        <x:v>98.75</x:v>
      </x:c>
      <x:c r="I630" s="16">
        <x:v>1</x:v>
      </x:c>
      <x:c r="J630">
        <x:v>375</x:v>
      </x:c>
      <x:c r="K630" s="4">
        <x:v>290</x:v>
      </x:c>
      <x:c r="L630" s="4">
        <x:v>358</x:v>
      </x:c>
      <x:c r="M630" s="4">
        <x:v>222</x:v>
      </x:c>
      <x:c r="N630" s="5">
        <x:v>0.6201</x:v>
      </x:c>
    </x:row>
    <x:row r="631" ht="24" customHeight="1">
      <x:c r="A631" s="1" t="inlineStr">
        <x:is>
          <x:t xml:space="preserve">RESULT</x:t>
        </x:is>
      </x:c>
      <x:c r="B631" s="1" t="inlineStr">
        <x:is>
          <x:t xml:space="preserve">Round1</x:t>
        </x:is>
      </x:c>
      <x:c r="C631" s="1" t="inlineStr">
        <x:is>
          <x:t xml:space="preserve">Lang_17</x:t>
        </x:is>
      </x:c>
      <x:c r="D631" s="1" t="inlineStr">
        <x:is>
          <x:t xml:space="preserve">NOT_AVAILABLE</x:t>
        </x:is>
      </x:c>
      <x:c r="E631" s="5"/>
      <x:c r="F631" s="4">
        <x:v>0</x:v>
      </x:c>
      <x:c r="G631" s="4">
        <x:v>4112</x:v>
      </x:c>
      <x:c r="H631" s="6">
        <x:v>50.16</x:v>
      </x:c>
      <x:c r="I631" s="16">
        <x:v>1</x:v>
      </x:c>
      <x:c r="J631"/>
      <x:c r="K631" s="4"/>
      <x:c r="L631" s="4"/>
      <x:c r="M631" s="4"/>
      <x:c r="N631" s="5"/>
    </x:row>
    <x:row r="632" ht="24" customHeight="1">
      <x:c r="A632" s="1" t="inlineStr">
        <x:is>
          <x:t xml:space="preserve">RESULT</x:t>
        </x:is>
      </x:c>
      <x:c r="B632" s="1" t="inlineStr">
        <x:is>
          <x:t xml:space="preserve">Round1</x:t>
        </x:is>
      </x:c>
      <x:c r="C632" s="1" t="inlineStr">
        <x:is>
          <x:t xml:space="preserve">Lang_19</x:t>
        </x:is>
      </x:c>
      <x:c r="D632" s="1" t="inlineStr">
        <x:is>
          <x:t xml:space="preserve">INCONCLUSIVE</x:t>
        </x:is>
      </x:c>
      <x:c r="E632" s="5">
        <x:v>1.0</x:v>
      </x:c>
      <x:c r="F632" s="4">
        <x:v>0</x:v>
      </x:c>
      <x:c r="G632" s="4">
        <x:v>3312</x:v>
      </x:c>
      <x:c r="H632" s="6">
        <x:v>48.03</x:v>
      </x:c>
      <x:c r="I632" s="16">
        <x:v>1</x:v>
      </x:c>
      <x:c r="J632">
        <x:v>27</x:v>
      </x:c>
      <x:c r="K632" s="4">
        <x:v>27</x:v>
      </x:c>
      <x:c r="L632" s="4">
        <x:v>18</x:v>
      </x:c>
      <x:c r="M632" s="4">
        <x:v>17</x:v>
      </x:c>
      <x:c r="N632" s="5">
        <x:v>0.9444</x:v>
      </x:c>
    </x:row>
    <x:row r="633" ht="24" customHeight="1">
      <x:c r="A633" s="1" t="inlineStr">
        <x:is>
          <x:t xml:space="preserve">RESULT</x:t>
        </x:is>
      </x:c>
      <x:c r="B633" s="1" t="inlineStr">
        <x:is>
          <x:t xml:space="preserve">Round1</x:t>
        </x:is>
      </x:c>
      <x:c r="C633" s="1" t="inlineStr">
        <x:is>
          <x:t xml:space="preserve">Lang_20</x:t>
        </x:is>
      </x:c>
      <x:c r="D633" s="1" t="inlineStr">
        <x:is>
          <x:t xml:space="preserve">NOT_AVAILABLE</x:t>
        </x:is>
      </x:c>
      <x:c r="E633" s="5"/>
      <x:c r="F633" s="4">
        <x:v>0</x:v>
      </x:c>
      <x:c r="G633" s="4">
        <x:v>24701</x:v>
      </x:c>
      <x:c r="H633" s="6">
        <x:v>235.91</x:v>
      </x:c>
      <x:c r="I633" s="16">
        <x:v>1</x:v>
      </x:c>
      <x:c r="J633"/>
      <x:c r="K633" s="4"/>
      <x:c r="L633" s="4"/>
      <x:c r="M633" s="4"/>
      <x:c r="N633" s="5"/>
    </x:row>
    <x:row r="634" ht="24" customHeight="1">
      <x:c r="A634" s="1" t="inlineStr">
        <x:is>
          <x:t xml:space="preserve">RESULT</x:t>
        </x:is>
      </x:c>
      <x:c r="B634" s="1" t="inlineStr">
        <x:is>
          <x:t xml:space="preserve">Round1</x:t>
        </x:is>
      </x:c>
      <x:c r="C634" s="1" t="inlineStr">
        <x:is>
          <x:t xml:space="preserve">Lang_21</x:t>
        </x:is>
      </x:c>
      <x:c r="D634" s="1" t="inlineStr">
        <x:is>
          <x:t xml:space="preserve">NOT_AVAILABLE</x:t>
        </x:is>
      </x:c>
      <x:c r="E634" s="5"/>
      <x:c r="F634" s="4">
        <x:v>0</x:v>
      </x:c>
      <x:c r="G634" s="4">
        <x:v>9732</x:v>
      </x:c>
      <x:c r="H634" s="6">
        <x:v>111.7</x:v>
      </x:c>
      <x:c r="I634" s="16">
        <x:v>1</x:v>
      </x:c>
      <x:c r="J634"/>
      <x:c r="K634" s="4"/>
      <x:c r="L634" s="4"/>
      <x:c r="M634" s="4"/>
      <x:c r="N634" s="5"/>
    </x:row>
    <x:row r="635" ht="24" customHeight="1">
      <x:c r="A635" s="1" t="inlineStr">
        <x:is>
          <x:t xml:space="preserve">RESULT</x:t>
        </x:is>
      </x:c>
      <x:c r="B635" s="1" t="inlineStr">
        <x:is>
          <x:t xml:space="preserve">Round1</x:t>
        </x:is>
      </x:c>
      <x:c r="C635" s="1" t="inlineStr">
        <x:is>
          <x:t xml:space="preserve">Lang_22</x:t>
        </x:is>
      </x:c>
      <x:c r="D635" s="1" t="inlineStr">
        <x:is>
          <x:t xml:space="preserve">NOT_AVAILABLE</x:t>
        </x:is>
      </x:c>
      <x:c r="E635" s="5"/>
      <x:c r="F635" s="4">
        <x:v>0</x:v>
      </x:c>
      <x:c r="G635" s="4">
        <x:v>7730</x:v>
      </x:c>
      <x:c r="H635" s="6">
        <x:v>91.25</x:v>
      </x:c>
      <x:c r="I635" s="16">
        <x:v>1</x:v>
      </x:c>
      <x:c r="J635"/>
      <x:c r="K635" s="4"/>
      <x:c r="L635" s="4"/>
      <x:c r="M635" s="4"/>
      <x:c r="N635" s="5"/>
    </x:row>
    <x:row r="636" ht="24" customHeight="1">
      <x:c r="A636" s="1" t="inlineStr">
        <x:is>
          <x:t xml:space="preserve">RESULT</x:t>
        </x:is>
      </x:c>
      <x:c r="B636" s="1" t="inlineStr">
        <x:is>
          <x:t xml:space="preserve">Round1</x:t>
        </x:is>
      </x:c>
      <x:c r="C636" s="1" t="inlineStr">
        <x:is>
          <x:t xml:space="preserve">Lang_23</x:t>
        </x:is>
      </x:c>
      <x:c r="D636" s="1" t="inlineStr">
        <x:is>
          <x:t xml:space="preserve">INCONCLUSIVE</x:t>
        </x:is>
      </x:c>
      <x:c r="E636" s="5">
        <x:v>0.521</x:v>
      </x:c>
      <x:c r="F636" s="4">
        <x:v>0</x:v>
      </x:c>
      <x:c r="G636" s="4">
        <x:v>6957</x:v>
      </x:c>
      <x:c r="H636" s="6">
        <x:v>58.94</x:v>
      </x:c>
      <x:c r="I636" s="16">
        <x:v>1</x:v>
      </x:c>
      <x:c r="J636">
        <x:v>167</x:v>
      </x:c>
      <x:c r="K636" s="4">
        <x:v>87</x:v>
      </x:c>
      <x:c r="L636" s="4">
        <x:v>99</x:v>
      </x:c>
      <x:c r="M636" s="4">
        <x:v>30</x:v>
      </x:c>
      <x:c r="N636" s="5">
        <x:v>0.303</x:v>
      </x:c>
    </x:row>
    <x:row r="637" ht="24" customHeight="1">
      <x:c r="A637" s="1" t="inlineStr">
        <x:is>
          <x:t xml:space="preserve">RESULT</x:t>
        </x:is>
      </x:c>
      <x:c r="B637" s="1" t="inlineStr">
        <x:is>
          <x:t xml:space="preserve">Round1</x:t>
        </x:is>
      </x:c>
      <x:c r="C637" s="1" t="inlineStr">
        <x:is>
          <x:t xml:space="preserve">Lang_24</x:t>
        </x:is>
      </x:c>
      <x:c r="D637" s="1" t="inlineStr">
        <x:is>
          <x:t xml:space="preserve">INCONCLUSIVE</x:t>
        </x:is>
      </x:c>
      <x:c r="E637" s="5">
        <x:v>0.6489</x:v>
      </x:c>
      <x:c r="F637" s="4">
        <x:v>0</x:v>
      </x:c>
      <x:c r="G637" s="4">
        <x:v>7820</x:v>
      </x:c>
      <x:c r="H637" s="6">
        <x:v>63.68</x:v>
      </x:c>
      <x:c r="I637" s="16">
        <x:v>1</x:v>
      </x:c>
      <x:c r="J637">
        <x:v>376</x:v>
      </x:c>
      <x:c r="K637" s="4">
        <x:v>244</x:v>
      </x:c>
      <x:c r="L637" s="4">
        <x:v>356</x:v>
      </x:c>
      <x:c r="M637" s="4">
        <x:v>161</x:v>
      </x:c>
      <x:c r="N637" s="5">
        <x:v>0.4522</x:v>
      </x:c>
    </x:row>
    <x:row r="638" ht="24" customHeight="1">
      <x:c r="A638" s="1" t="inlineStr">
        <x:is>
          <x:t xml:space="preserve">RESULT</x:t>
        </x:is>
      </x:c>
      <x:c r="B638" s="1" t="inlineStr">
        <x:is>
          <x:t xml:space="preserve">Round1</x:t>
        </x:is>
      </x:c>
      <x:c r="C638" s="1" t="inlineStr">
        <x:is>
          <x:t xml:space="preserve">Lang_26</x:t>
        </x:is>
      </x:c>
      <x:c r="D638" s="1" t="inlineStr">
        <x:is>
          <x:t xml:space="preserve">INCONCLUSIVE</x:t>
        </x:is>
      </x:c>
      <x:c r="E638" s="5">
        <x:v>0.8538</x:v>
      </x:c>
      <x:c r="F638" s="4">
        <x:v>0</x:v>
      </x:c>
      <x:c r="G638" s="4">
        <x:v>12609</x:v>
      </x:c>
      <x:c r="H638" s="6">
        <x:v>154.77</x:v>
      </x:c>
      <x:c r="I638" s="16">
        <x:v>1</x:v>
      </x:c>
      <x:c r="J638">
        <x:v>465</x:v>
      </x:c>
      <x:c r="K638" s="4">
        <x:v>397</x:v>
      </x:c>
      <x:c r="L638" s="4">
        <x:v>228</x:v>
      </x:c>
      <x:c r="M638" s="4">
        <x:v>156</x:v>
      </x:c>
      <x:c r="N638" s="5">
        <x:v>0.6842</x:v>
      </x:c>
    </x:row>
    <x:row r="639" ht="24" customHeight="1">
      <x:c r="A639" s="1" t="inlineStr">
        <x:is>
          <x:t xml:space="preserve">RESULT</x:t>
        </x:is>
      </x:c>
      <x:c r="B639" s="1" t="inlineStr">
        <x:is>
          <x:t xml:space="preserve">Round1</x:t>
        </x:is>
      </x:c>
      <x:c r="C639" s="1" t="inlineStr">
        <x:is>
          <x:t xml:space="preserve">Lang_27</x:t>
        </x:is>
      </x:c>
      <x:c r="D639" s="1" t="inlineStr">
        <x:is>
          <x:t xml:space="preserve">INCONCLUSIVE</x:t>
        </x:is>
      </x:c>
      <x:c r="E639" s="5">
        <x:v>0.7086</x:v>
      </x:c>
      <x:c r="F639" s="4">
        <x:v>0</x:v>
      </x:c>
      <x:c r="G639" s="4">
        <x:v>8257</x:v>
      </x:c>
      <x:c r="H639" s="6">
        <x:v>79.0</x:v>
      </x:c>
      <x:c r="I639" s="16">
        <x:v>1</x:v>
      </x:c>
      <x:c r="J639">
        <x:v>374</x:v>
      </x:c>
      <x:c r="K639" s="4">
        <x:v>265</x:v>
      </x:c>
      <x:c r="L639" s="4">
        <x:v>352</x:v>
      </x:c>
      <x:c r="M639" s="4">
        <x:v>197</x:v>
      </x:c>
      <x:c r="N639" s="5">
        <x:v>0.5597</x:v>
      </x:c>
    </x:row>
    <x:row r="640" ht="24" customHeight="1">
      <x:c r="A640" s="1" t="inlineStr">
        <x:is>
          <x:t xml:space="preserve">RESULT</x:t>
        </x:is>
      </x:c>
      <x:c r="B640" s="1" t="inlineStr">
        <x:is>
          <x:t xml:space="preserve">Round1</x:t>
        </x:is>
      </x:c>
      <x:c r="C640" s="1" t="inlineStr">
        <x:is>
          <x:t xml:space="preserve">Lang_28</x:t>
        </x:is>
      </x:c>
      <x:c r="D640" s="1" t="inlineStr">
        <x:is>
          <x:t xml:space="preserve">INCONCLUSIVE</x:t>
        </x:is>
      </x:c>
      <x:c r="E640" s="5">
        <x:v>0.95</x:v>
      </x:c>
      <x:c r="F640" s="4">
        <x:v>0</x:v>
      </x:c>
      <x:c r="G640" s="4">
        <x:v>2703</x:v>
      </x:c>
      <x:c r="H640" s="6">
        <x:v>45.23</x:v>
      </x:c>
      <x:c r="I640" s="16">
        <x:v>1</x:v>
      </x:c>
      <x:c r="J640">
        <x:v>20</x:v>
      </x:c>
      <x:c r="K640" s="4">
        <x:v>19</x:v>
      </x:c>
      <x:c r="L640" s="4">
        <x:v>14</x:v>
      </x:c>
      <x:c r="M640" s="4">
        <x:v>12</x:v>
      </x:c>
      <x:c r="N640" s="5">
        <x:v>0.8571</x:v>
      </x:c>
    </x:row>
    <x:row r="641" ht="24" customHeight="1">
      <x:c r="A641" s="1" t="inlineStr">
        <x:is>
          <x:t xml:space="preserve">RESULT</x:t>
        </x:is>
      </x:c>
      <x:c r="B641" s="1" t="inlineStr">
        <x:is>
          <x:t xml:space="preserve">Round1</x:t>
        </x:is>
      </x:c>
      <x:c r="C641" s="1" t="inlineStr">
        <x:is>
          <x:t xml:space="preserve">Lang_29</x:t>
        </x:is>
      </x:c>
      <x:c r="D641" s="1" t="inlineStr">
        <x:is>
          <x:t xml:space="preserve">NOT_AVAILABLE</x:t>
        </x:is>
      </x:c>
      <x:c r="E641" s="5"/>
      <x:c r="F641" s="4">
        <x:v>0</x:v>
      </x:c>
      <x:c r="G641" s="4">
        <x:v>6101</x:v>
      </x:c>
      <x:c r="H641" s="6">
        <x:v>75.13</x:v>
      </x:c>
      <x:c r="I641" s="16">
        <x:v>1</x:v>
      </x:c>
      <x:c r="J641"/>
      <x:c r="K641" s="4"/>
      <x:c r="L641" s="4"/>
      <x:c r="M641" s="4"/>
      <x:c r="N641" s="5"/>
    </x:row>
    <x:row r="642" ht="24" customHeight="1">
      <x:c r="A642" s="1" t="inlineStr">
        <x:is>
          <x:t xml:space="preserve">RESULT</x:t>
        </x:is>
      </x:c>
      <x:c r="B642" s="1" t="inlineStr">
        <x:is>
          <x:t xml:space="preserve">Round1</x:t>
        </x:is>
      </x:c>
      <x:c r="C642" s="1" t="inlineStr">
        <x:is>
          <x:t xml:space="preserve">Lang_3</x:t>
        </x:is>
      </x:c>
      <x:c r="D642" s="1" t="inlineStr">
        <x:is>
          <x:t xml:space="preserve">NOT_AVAILABLE</x:t>
        </x:is>
      </x:c>
      <x:c r="E642" s="5"/>
      <x:c r="F642" s="4">
        <x:v>0</x:v>
      </x:c>
      <x:c r="G642" s="4">
        <x:v>9526</x:v>
      </x:c>
      <x:c r="H642" s="6">
        <x:v>129.04</x:v>
      </x:c>
      <x:c r="I642" s="16">
        <x:v>1</x:v>
      </x:c>
      <x:c r="J642"/>
      <x:c r="K642" s="4"/>
      <x:c r="L642" s="4"/>
      <x:c r="M642" s="4"/>
      <x:c r="N642" s="5"/>
    </x:row>
    <x:row r="643" ht="24" customHeight="1">
      <x:c r="A643" s="1" t="inlineStr">
        <x:is>
          <x:t xml:space="preserve">RESULT</x:t>
        </x:is>
      </x:c>
      <x:c r="B643" s="1" t="inlineStr">
        <x:is>
          <x:t xml:space="preserve">Round1</x:t>
        </x:is>
      </x:c>
      <x:c r="C643" s="1" t="inlineStr">
        <x:is>
          <x:t xml:space="preserve">Lang_30</x:t>
        </x:is>
      </x:c>
      <x:c r="D643" s="1" t="inlineStr">
        <x:is>
          <x:t xml:space="preserve">NOT_AVAILABLE</x:t>
        </x:is>
      </x:c>
      <x:c r="E643" s="5"/>
      <x:c r="F643" s="4">
        <x:v>0</x:v>
      </x:c>
      <x:c r="G643" s="4">
        <x:v>20352</x:v>
      </x:c>
      <x:c r="H643" s="6">
        <x:v>138.81</x:v>
      </x:c>
      <x:c r="I643" s="16">
        <x:v>1</x:v>
      </x:c>
      <x:c r="J643"/>
      <x:c r="K643" s="4"/>
      <x:c r="L643" s="4"/>
      <x:c r="M643" s="4"/>
      <x:c r="N643" s="5"/>
    </x:row>
    <x:row r="644" ht="24" customHeight="1">
      <x:c r="A644" s="1" t="inlineStr">
        <x:is>
          <x:t xml:space="preserve">RESULT</x:t>
        </x:is>
      </x:c>
      <x:c r="B644" s="1" t="inlineStr">
        <x:is>
          <x:t xml:space="preserve">Round1</x:t>
        </x:is>
      </x:c>
      <x:c r="C644" s="1" t="inlineStr">
        <x:is>
          <x:t xml:space="preserve">Lang_31</x:t>
        </x:is>
      </x:c>
      <x:c r="D644" s="1" t="inlineStr">
        <x:is>
          <x:t xml:space="preserve">NOT_AVAILABLE</x:t>
        </x:is>
      </x:c>
      <x:c r="E644" s="5"/>
      <x:c r="F644" s="4">
        <x:v>0</x:v>
      </x:c>
      <x:c r="G644" s="4">
        <x:v>22853</x:v>
      </x:c>
      <x:c r="H644" s="6">
        <x:v>221.13</x:v>
      </x:c>
      <x:c r="I644" s="16">
        <x:v>1</x:v>
      </x:c>
      <x:c r="J644"/>
      <x:c r="K644" s="4"/>
      <x:c r="L644" s="4"/>
      <x:c r="M644" s="4"/>
      <x:c r="N644" s="5"/>
    </x:row>
    <x:row r="645" ht="24" customHeight="1">
      <x:c r="A645" s="1" t="inlineStr">
        <x:is>
          <x:t xml:space="preserve">RESULT</x:t>
        </x:is>
      </x:c>
      <x:c r="B645" s="1" t="inlineStr">
        <x:is>
          <x:t xml:space="preserve">Round1</x:t>
        </x:is>
      </x:c>
      <x:c r="C645" s="1" t="inlineStr">
        <x:is>
          <x:t xml:space="preserve">Lang_32</x:t>
        </x:is>
      </x:c>
      <x:c r="D645" s="1" t="inlineStr">
        <x:is>
          <x:t xml:space="preserve">NOT_AVAILABLE</x:t>
        </x:is>
      </x:c>
      <x:c r="E645" s="5"/>
      <x:c r="F645" s="4">
        <x:v>0</x:v>
      </x:c>
      <x:c r="G645" s="4">
        <x:v>8179</x:v>
      </x:c>
      <x:c r="H645" s="6">
        <x:v>158.82</x:v>
      </x:c>
      <x:c r="I645" s="16">
        <x:v>1</x:v>
      </x:c>
      <x:c r="J645"/>
      <x:c r="K645" s="4"/>
      <x:c r="L645" s="4"/>
      <x:c r="M645" s="4"/>
      <x:c r="N645" s="5"/>
    </x:row>
    <x:row r="646" ht="24" customHeight="1">
      <x:c r="A646" s="1" t="inlineStr">
        <x:is>
          <x:t xml:space="preserve">RESULT</x:t>
        </x:is>
      </x:c>
      <x:c r="B646" s="1" t="inlineStr">
        <x:is>
          <x:t xml:space="preserve">Round1</x:t>
        </x:is>
      </x:c>
      <x:c r="C646" s="1" t="inlineStr">
        <x:is>
          <x:t xml:space="preserve">Lang_33</x:t>
        </x:is>
      </x:c>
      <x:c r="D646" s="1" t="inlineStr">
        <x:is>
          <x:t xml:space="preserve">NOT_AVAILABLE</x:t>
        </x:is>
      </x:c>
      <x:c r="E646" s="5"/>
      <x:c r="F646" s="4">
        <x:v>0</x:v>
      </x:c>
      <x:c r="G646" s="4">
        <x:v>7344</x:v>
      </x:c>
      <x:c r="H646" s="6">
        <x:v>72.35</x:v>
      </x:c>
      <x:c r="I646" s="16">
        <x:v>1</x:v>
      </x:c>
      <x:c r="J646"/>
      <x:c r="K646" s="4"/>
      <x:c r="L646" s="4"/>
      <x:c r="M646" s="4"/>
      <x:c r="N646" s="5"/>
    </x:row>
    <x:row r="647" ht="24" customHeight="1">
      <x:c r="A647" s="1" t="inlineStr">
        <x:is>
          <x:t xml:space="preserve">RESULT</x:t>
        </x:is>
      </x:c>
      <x:c r="B647" s="1" t="inlineStr">
        <x:is>
          <x:t xml:space="preserve">Round1</x:t>
        </x:is>
      </x:c>
      <x:c r="C647" s="1" t="inlineStr">
        <x:is>
          <x:t xml:space="preserve">Lang_34</x:t>
        </x:is>
      </x:c>
      <x:c r="D647" s="1" t="inlineStr">
        <x:is>
          <x:t xml:space="preserve">NOT_AVAILABLE</x:t>
        </x:is>
      </x:c>
      <x:c r="E647" s="5"/>
      <x:c r="F647" s="4">
        <x:v>0</x:v>
      </x:c>
      <x:c r="G647" s="4">
        <x:v>11934</x:v>
      </x:c>
      <x:c r="H647" s="6">
        <x:v>142.81</x:v>
      </x:c>
      <x:c r="I647" s="16">
        <x:v>1</x:v>
      </x:c>
      <x:c r="J647"/>
      <x:c r="K647" s="4"/>
      <x:c r="L647" s="4"/>
      <x:c r="M647" s="4"/>
      <x:c r="N647" s="5"/>
    </x:row>
    <x:row r="648" ht="24" customHeight="1">
      <x:c r="A648" s="1" t="inlineStr">
        <x:is>
          <x:t xml:space="preserve">RESULT</x:t>
        </x:is>
      </x:c>
      <x:c r="B648" s="1" t="inlineStr">
        <x:is>
          <x:t xml:space="preserve">Round1</x:t>
        </x:is>
      </x:c>
      <x:c r="C648" s="1" t="inlineStr">
        <x:is>
          <x:t xml:space="preserve">Lang_35</x:t>
        </x:is>
      </x:c>
      <x:c r="D648" s="1" t="inlineStr">
        <x:is>
          <x:t xml:space="preserve">NOT_AVAILABLE</x:t>
        </x:is>
      </x:c>
      <x:c r="E648" s="5"/>
      <x:c r="F648" s="4">
        <x:v>0</x:v>
      </x:c>
      <x:c r="G648" s="4">
        <x:v>15515</x:v>
      </x:c>
      <x:c r="H648" s="6">
        <x:v>14.97</x:v>
      </x:c>
      <x:c r="I648" s="16">
        <x:v>1</x:v>
      </x:c>
      <x:c r="J648"/>
      <x:c r="K648" s="4"/>
      <x:c r="L648" s="4"/>
      <x:c r="M648" s="4"/>
      <x:c r="N648" s="5"/>
    </x:row>
    <x:row r="649" ht="24" customHeight="1">
      <x:c r="A649" s="1" t="inlineStr">
        <x:is>
          <x:t xml:space="preserve">RESULT</x:t>
        </x:is>
      </x:c>
      <x:c r="B649" s="1" t="inlineStr">
        <x:is>
          <x:t xml:space="preserve">Round1</x:t>
        </x:is>
      </x:c>
      <x:c r="C649" s="1" t="inlineStr">
        <x:is>
          <x:t xml:space="preserve">Lang_36</x:t>
        </x:is>
      </x:c>
      <x:c r="D649" s="1" t="inlineStr">
        <x:is>
          <x:t xml:space="preserve">NOT_AVAILABLE</x:t>
        </x:is>
      </x:c>
      <x:c r="E649" s="5"/>
      <x:c r="F649" s="4">
        <x:v>0</x:v>
      </x:c>
      <x:c r="G649" s="4">
        <x:v>8360</x:v>
      </x:c>
      <x:c r="H649" s="6">
        <x:v>80.67</x:v>
      </x:c>
      <x:c r="I649" s="16">
        <x:v>1</x:v>
      </x:c>
      <x:c r="J649"/>
      <x:c r="K649" s="4"/>
      <x:c r="L649" s="4"/>
      <x:c r="M649" s="4"/>
      <x:c r="N649" s="5"/>
    </x:row>
    <x:row r="650" ht="24" customHeight="1">
      <x:c r="A650" s="1" t="inlineStr">
        <x:is>
          <x:t xml:space="preserve">RESULT</x:t>
        </x:is>
      </x:c>
      <x:c r="B650" s="1" t="inlineStr">
        <x:is>
          <x:t xml:space="preserve">Round1</x:t>
        </x:is>
      </x:c>
      <x:c r="C650" s="1" t="inlineStr">
        <x:is>
          <x:t xml:space="preserve">Lang_37</x:t>
        </x:is>
      </x:c>
      <x:c r="D650" s="1" t="inlineStr">
        <x:is>
          <x:t xml:space="preserve">NOT_AVAILABLE</x:t>
        </x:is>
      </x:c>
      <x:c r="E650" s="5"/>
      <x:c r="F650" s="4">
        <x:v>0</x:v>
      </x:c>
      <x:c r="G650" s="4">
        <x:v>18218</x:v>
      </x:c>
      <x:c r="H650" s="6">
        <x:v>78.84</x:v>
      </x:c>
      <x:c r="I650" s="16">
        <x:v>1</x:v>
      </x:c>
      <x:c r="J650"/>
      <x:c r="K650" s="4"/>
      <x:c r="L650" s="4"/>
      <x:c r="M650" s="4"/>
      <x:c r="N650" s="5"/>
    </x:row>
    <x:row r="651" ht="24" customHeight="1">
      <x:c r="A651" s="1" t="inlineStr">
        <x:is>
          <x:t xml:space="preserve">RESULT</x:t>
        </x:is>
      </x:c>
      <x:c r="B651" s="1" t="inlineStr">
        <x:is>
          <x:t xml:space="preserve">Round1</x:t>
        </x:is>
      </x:c>
      <x:c r="C651" s="1" t="inlineStr">
        <x:is>
          <x:t xml:space="preserve">Lang_38</x:t>
        </x:is>
      </x:c>
      <x:c r="D651" s="1" t="inlineStr">
        <x:is>
          <x:t xml:space="preserve">REVEALING</x:t>
        </x:is>
      </x:c>
      <x:c r="E651" s="5">
        <x:v>0.7759</x:v>
      </x:c>
      <x:c r="F651" s="4">
        <x:v>1</x:v>
      </x:c>
      <x:c r="G651" s="4">
        <x:v>10005</x:v>
      </x:c>
      <x:c r="H651" s="6">
        <x:v>67.68</x:v>
      </x:c>
      <x:c r="I651" s="16">
        <x:v>1</x:v>
      </x:c>
      <x:c r="J651">
        <x:v>464</x:v>
      </x:c>
      <x:c r="K651" s="4">
        <x:v>360</x:v>
      </x:c>
      <x:c r="L651" s="4">
        <x:v>228</x:v>
      </x:c>
      <x:c r="M651" s="4">
        <x:v>136</x:v>
      </x:c>
      <x:c r="N651" s="5">
        <x:v>0.5965</x:v>
      </x:c>
    </x:row>
    <x:row r="652" ht="24" customHeight="1">
      <x:c r="A652" s="1" t="inlineStr">
        <x:is>
          <x:t xml:space="preserve">RESULT</x:t>
        </x:is>
      </x:c>
      <x:c r="B652" s="1" t="inlineStr">
        <x:is>
          <x:t xml:space="preserve">Round1</x:t>
        </x:is>
      </x:c>
      <x:c r="C652" s="1" t="inlineStr">
        <x:is>
          <x:t xml:space="preserve">Lang_39</x:t>
        </x:is>
      </x:c>
      <x:c r="D652" s="1" t="inlineStr">
        <x:is>
          <x:t xml:space="preserve">NOT_AVAILABLE</x:t>
        </x:is>
      </x:c>
      <x:c r="E652" s="5"/>
      <x:c r="F652" s="4">
        <x:v>0</x:v>
      </x:c>
      <x:c r="G652" s="4">
        <x:v>21737</x:v>
      </x:c>
      <x:c r="H652" s="6">
        <x:v>203.1</x:v>
      </x:c>
      <x:c r="I652" s="16">
        <x:v>1</x:v>
      </x:c>
      <x:c r="J652"/>
      <x:c r="K652" s="4"/>
      <x:c r="L652" s="4"/>
      <x:c r="M652" s="4"/>
      <x:c r="N652" s="5"/>
    </x:row>
    <x:row r="653" ht="24" customHeight="1">
      <x:c r="A653" s="1" t="inlineStr">
        <x:is>
          <x:t xml:space="preserve">RESULT</x:t>
        </x:is>
      </x:c>
      <x:c r="B653" s="1" t="inlineStr">
        <x:is>
          <x:t xml:space="preserve">Round1</x:t>
        </x:is>
      </x:c>
      <x:c r="C653" s="1" t="inlineStr">
        <x:is>
          <x:t xml:space="preserve">Lang_4</x:t>
        </x:is>
      </x:c>
      <x:c r="D653" s="1" t="inlineStr">
        <x:is>
          <x:t xml:space="preserve">INCONCLUSIVE</x:t>
        </x:is>
      </x:c>
      <x:c r="E653" s="5">
        <x:v>1.0</x:v>
      </x:c>
      <x:c r="F653" s="4">
        <x:v>0</x:v>
      </x:c>
      <x:c r="G653" s="4">
        <x:v>3038</x:v>
      </x:c>
      <x:c r="H653" s="6">
        <x:v>37.02</x:v>
      </x:c>
      <x:c r="I653" s="16">
        <x:v>1</x:v>
      </x:c>
      <x:c r="J653">
        <x:v>25</x:v>
      </x:c>
      <x:c r="K653" s="4">
        <x:v>25</x:v>
      </x:c>
      <x:c r="L653" s="4">
        <x:v>14</x:v>
      </x:c>
      <x:c r="M653" s="4">
        <x:v>14</x:v>
      </x:c>
      <x:c r="N653" s="5">
        <x:v>1.0</x:v>
      </x:c>
    </x:row>
    <x:row r="654" ht="24" customHeight="1">
      <x:c r="A654" s="1" t="inlineStr">
        <x:is>
          <x:t xml:space="preserve">RESULT</x:t>
        </x:is>
      </x:c>
      <x:c r="B654" s="1" t="inlineStr">
        <x:is>
          <x:t xml:space="preserve">Round1</x:t>
        </x:is>
      </x:c>
      <x:c r="C654" s="1" t="inlineStr">
        <x:is>
          <x:t xml:space="preserve">Lang_40</x:t>
        </x:is>
      </x:c>
      <x:c r="D654" s="1" t="inlineStr">
        <x:is>
          <x:t xml:space="preserve">NOT_AVAILABLE</x:t>
        </x:is>
      </x:c>
      <x:c r="E654" s="5"/>
      <x:c r="F654" s="4">
        <x:v>0</x:v>
      </x:c>
      <x:c r="G654" s="4">
        <x:v>20231</x:v>
      </x:c>
      <x:c r="H654" s="6">
        <x:v>173.24</x:v>
      </x:c>
      <x:c r="I654" s="16">
        <x:v>1</x:v>
      </x:c>
      <x:c r="J654"/>
      <x:c r="K654" s="4"/>
      <x:c r="L654" s="4"/>
      <x:c r="M654" s="4"/>
      <x:c r="N654" s="5"/>
    </x:row>
    <x:row r="655" ht="24" customHeight="1">
      <x:c r="A655" s="1" t="inlineStr">
        <x:is>
          <x:t xml:space="preserve">RESULT</x:t>
        </x:is>
      </x:c>
      <x:c r="B655" s="1" t="inlineStr">
        <x:is>
          <x:t xml:space="preserve">Round1</x:t>
        </x:is>
      </x:c>
      <x:c r="C655" s="1" t="inlineStr">
        <x:is>
          <x:t xml:space="preserve">Lang_41</x:t>
        </x:is>
      </x:c>
      <x:c r="D655" s="1" t="inlineStr">
        <x:is>
          <x:t xml:space="preserve">NOT_AVAILABLE</x:t>
        </x:is>
      </x:c>
      <x:c r="E655" s="5"/>
      <x:c r="F655" s="4">
        <x:v>0</x:v>
      </x:c>
      <x:c r="G655" s="4">
        <x:v>7563</x:v>
      </x:c>
      <x:c r="H655" s="6">
        <x:v>82.33</x:v>
      </x:c>
      <x:c r="I655" s="16">
        <x:v>1</x:v>
      </x:c>
      <x:c r="J655"/>
      <x:c r="K655" s="4"/>
      <x:c r="L655" s="4"/>
      <x:c r="M655" s="4"/>
      <x:c r="N655" s="5"/>
    </x:row>
    <x:row r="656" ht="24" customHeight="1">
      <x:c r="A656" s="1" t="inlineStr">
        <x:is>
          <x:t xml:space="preserve">RESULT</x:t>
        </x:is>
      </x:c>
      <x:c r="B656" s="1" t="inlineStr">
        <x:is>
          <x:t xml:space="preserve">Round1</x:t>
        </x:is>
      </x:c>
      <x:c r="C656" s="1" t="inlineStr">
        <x:is>
          <x:t xml:space="preserve">Lang_42</x:t>
        </x:is>
      </x:c>
      <x:c r="D656" s="1" t="inlineStr">
        <x:is>
          <x:t xml:space="preserve">NOT_AVAILABLE</x:t>
        </x:is>
      </x:c>
      <x:c r="E656" s="5"/>
      <x:c r="F656" s="4">
        <x:v>0</x:v>
      </x:c>
      <x:c r="G656" s="4">
        <x:v>7605</x:v>
      </x:c>
      <x:c r="H656" s="6">
        <x:v>59.41</x:v>
      </x:c>
      <x:c r="I656" s="16">
        <x:v>1</x:v>
      </x:c>
      <x:c r="J656"/>
      <x:c r="K656" s="4"/>
      <x:c r="L656" s="4"/>
      <x:c r="M656" s="4"/>
      <x:c r="N656" s="5"/>
    </x:row>
    <x:row r="657" ht="24" customHeight="1">
      <x:c r="A657" s="1" t="inlineStr">
        <x:is>
          <x:t xml:space="preserve">RESULT</x:t>
        </x:is>
      </x:c>
      <x:c r="B657" s="1" t="inlineStr">
        <x:is>
          <x:t xml:space="preserve">Round1</x:t>
        </x:is>
      </x:c>
      <x:c r="C657" s="1" t="inlineStr">
        <x:is>
          <x:t xml:space="preserve">Lang_43</x:t>
        </x:is>
      </x:c>
      <x:c r="D657" s="1" t="inlineStr">
        <x:is>
          <x:t xml:space="preserve">NOT_AVAILABLE</x:t>
        </x:is>
      </x:c>
      <x:c r="E657" s="5"/>
      <x:c r="F657" s="4">
        <x:v>0</x:v>
      </x:c>
      <x:c r="G657" s="4">
        <x:v>6217</x:v>
      </x:c>
      <x:c r="H657" s="6">
        <x:v>41.91</x:v>
      </x:c>
      <x:c r="I657" s="16">
        <x:v>1</x:v>
      </x:c>
      <x:c r="J657"/>
      <x:c r="K657" s="4"/>
      <x:c r="L657" s="4"/>
      <x:c r="M657" s="4"/>
      <x:c r="N657" s="5"/>
    </x:row>
    <x:row r="658" ht="24" customHeight="1">
      <x:c r="A658" s="1" t="inlineStr">
        <x:is>
          <x:t xml:space="preserve">RESULT</x:t>
        </x:is>
      </x:c>
      <x:c r="B658" s="1" t="inlineStr">
        <x:is>
          <x:t xml:space="preserve">Round1</x:t>
        </x:is>
      </x:c>
      <x:c r="C658" s="1" t="inlineStr">
        <x:is>
          <x:t xml:space="preserve">Lang_44</x:t>
        </x:is>
      </x:c>
      <x:c r="D658" s="1" t="inlineStr">
        <x:is>
          <x:t xml:space="preserve">INCONCLUSIVE</x:t>
        </x:is>
      </x:c>
      <x:c r="E658" s="5">
        <x:v>0.6526000000000001</x:v>
      </x:c>
      <x:c r="F658" s="4">
        <x:v>0</x:v>
      </x:c>
      <x:c r="G658" s="4">
        <x:v>11654</x:v>
      </x:c>
      <x:c r="H658" s="6">
        <x:v>138.7</x:v>
      </x:c>
      <x:c r="I658" s="16">
        <x:v>1</x:v>
      </x:c>
      <x:c r="J658">
        <x:v>190</x:v>
      </x:c>
      <x:c r="K658" s="4">
        <x:v>124</x:v>
      </x:c>
      <x:c r="L658" s="4">
        <x:v>216</x:v>
      </x:c>
      <x:c r="M658" s="4">
        <x:v>93</x:v>
      </x:c>
      <x:c r="N658" s="5">
        <x:v>0.43060000000000004</x:v>
      </x:c>
    </x:row>
    <x:row r="659" ht="24" customHeight="1">
      <x:c r="A659" s="1" t="inlineStr">
        <x:is>
          <x:t xml:space="preserve">RESULT</x:t>
        </x:is>
      </x:c>
      <x:c r="B659" s="1" t="inlineStr">
        <x:is>
          <x:t xml:space="preserve">Round1</x:t>
        </x:is>
      </x:c>
      <x:c r="C659" s="1" t="inlineStr">
        <x:is>
          <x:t xml:space="preserve">Lang_45</x:t>
        </x:is>
      </x:c>
      <x:c r="D659" s="1" t="inlineStr">
        <x:is>
          <x:t xml:space="preserve">INCONCLUSIVE</x:t>
        </x:is>
      </x:c>
      <x:c r="E659" s="5">
        <x:v>0.9493</x:v>
      </x:c>
      <x:c r="F659" s="4">
        <x:v>0</x:v>
      </x:c>
      <x:c r="G659" s="4">
        <x:v>4821</x:v>
      </x:c>
      <x:c r="H659" s="6">
        <x:v>58.82</x:v>
      </x:c>
      <x:c r="I659" s="16">
        <x:v>1</x:v>
      </x:c>
      <x:c r="J659">
        <x:v>138</x:v>
      </x:c>
      <x:c r="K659" s="4">
        <x:v>131</x:v>
      </x:c>
      <x:c r="L659" s="4">
        <x:v>102</x:v>
      </x:c>
      <x:c r="M659" s="4">
        <x:v>97</x:v>
      </x:c>
      <x:c r="N659" s="5">
        <x:v>0.951</x:v>
      </x:c>
    </x:row>
    <x:row r="660" ht="24" customHeight="1">
      <x:c r="A660" s="1" t="inlineStr">
        <x:is>
          <x:t xml:space="preserve">RESULT</x:t>
        </x:is>
      </x:c>
      <x:c r="B660" s="1" t="inlineStr">
        <x:is>
          <x:t xml:space="preserve">Round1</x:t>
        </x:is>
      </x:c>
      <x:c r="C660" s="1" t="inlineStr">
        <x:is>
          <x:t xml:space="preserve">Lang_46</x:t>
        </x:is>
      </x:c>
      <x:c r="D660" s="1" t="inlineStr">
        <x:is>
          <x:t xml:space="preserve">NOT_AVAILABLE</x:t>
        </x:is>
      </x:c>
      <x:c r="E660" s="5"/>
      <x:c r="F660" s="4">
        <x:v>0</x:v>
      </x:c>
      <x:c r="G660" s="4">
        <x:v>9331</x:v>
      </x:c>
      <x:c r="H660" s="6">
        <x:v>187.92</x:v>
      </x:c>
      <x:c r="I660" s="16">
        <x:v>1</x:v>
      </x:c>
      <x:c r="J660"/>
      <x:c r="K660" s="4"/>
      <x:c r="L660" s="4"/>
      <x:c r="M660" s="4"/>
      <x:c r="N660" s="5"/>
    </x:row>
    <x:row r="661" ht="24" customHeight="1">
      <x:c r="A661" s="1" t="inlineStr">
        <x:is>
          <x:t xml:space="preserve">RESULT</x:t>
        </x:is>
      </x:c>
      <x:c r="B661" s="1" t="inlineStr">
        <x:is>
          <x:t xml:space="preserve">Round1</x:t>
        </x:is>
      </x:c>
      <x:c r="C661" s="1" t="inlineStr">
        <x:is>
          <x:t xml:space="preserve">Lang_47</x:t>
        </x:is>
      </x:c>
      <x:c r="D661" s="1" t="inlineStr">
        <x:is>
          <x:t xml:space="preserve">NOT_AVAILABLE</x:t>
        </x:is>
      </x:c>
      <x:c r="E661" s="5"/>
      <x:c r="F661" s="4">
        <x:v>0</x:v>
      </x:c>
      <x:c r="G661" s="4">
        <x:v>15750</x:v>
      </x:c>
      <x:c r="H661" s="6">
        <x:v>188.31</x:v>
      </x:c>
      <x:c r="I661" s="16">
        <x:v>1</x:v>
      </x:c>
      <x:c r="J661"/>
      <x:c r="K661" s="4"/>
      <x:c r="L661" s="4"/>
      <x:c r="M661" s="4"/>
      <x:c r="N661" s="5"/>
    </x:row>
    <x:row r="662" ht="24" customHeight="1">
      <x:c r="A662" s="1" t="inlineStr">
        <x:is>
          <x:t xml:space="preserve">RESULT</x:t>
        </x:is>
      </x:c>
      <x:c r="B662" s="1" t="inlineStr">
        <x:is>
          <x:t xml:space="preserve">Round1</x:t>
        </x:is>
      </x:c>
      <x:c r="C662" s="1" t="inlineStr">
        <x:is>
          <x:t xml:space="preserve">Lang_49</x:t>
        </x:is>
      </x:c>
      <x:c r="D662" s="1" t="inlineStr">
        <x:is>
          <x:t xml:space="preserve">INCONCLUSIVE</x:t>
        </x:is>
      </x:c>
      <x:c r="E662" s="5">
        <x:v>0.9348000000000001</x:v>
      </x:c>
      <x:c r="F662" s="4">
        <x:v>0</x:v>
      </x:c>
      <x:c r="G662" s="4">
        <x:v>8879</x:v>
      </x:c>
      <x:c r="H662" s="6">
        <x:v>159.17</x:v>
      </x:c>
      <x:c r="I662" s="16">
        <x:v>1</x:v>
      </x:c>
      <x:c r="J662">
        <x:v>276</x:v>
      </x:c>
      <x:c r="K662" s="4">
        <x:v>258</x:v>
      </x:c>
      <x:c r="L662" s="4">
        <x:v>184</x:v>
      </x:c>
      <x:c r="M662" s="4">
        <x:v>148</x:v>
      </x:c>
      <x:c r="N662" s="5">
        <x:v>0.8043</x:v>
      </x:c>
    </x:row>
    <x:row r="663" ht="24" customHeight="1">
      <x:c r="A663" s="1" t="inlineStr">
        <x:is>
          <x:t xml:space="preserve">RESULT</x:t>
        </x:is>
      </x:c>
      <x:c r="B663" s="1" t="inlineStr">
        <x:is>
          <x:t xml:space="preserve">Round1</x:t>
        </x:is>
      </x:c>
      <x:c r="C663" s="1" t="inlineStr">
        <x:is>
          <x:t xml:space="preserve">Lang_5</x:t>
        </x:is>
      </x:c>
      <x:c r="D663" s="1" t="inlineStr">
        <x:is>
          <x:t xml:space="preserve">INCONCLUSIVE</x:t>
        </x:is>
      </x:c>
      <x:c r="E663" s="5">
        <x:v>0.9390000000000001</x:v>
      </x:c>
      <x:c r="F663" s="4">
        <x:v>0</x:v>
      </x:c>
      <x:c r="G663" s="4">
        <x:v>5377</x:v>
      </x:c>
      <x:c r="H663" s="6">
        <x:v>47.9</x:v>
      </x:c>
      <x:c r="I663" s="16">
        <x:v>1</x:v>
      </x:c>
      <x:c r="J663">
        <x:v>82</x:v>
      </x:c>
      <x:c r="K663" s="4">
        <x:v>77</x:v>
      </x:c>
      <x:c r="L663" s="4">
        <x:v>56</x:v>
      </x:c>
      <x:c r="M663" s="4">
        <x:v>49</x:v>
      </x:c>
      <x:c r="N663" s="5">
        <x:v>0.875</x:v>
      </x:c>
    </x:row>
    <x:row r="664" ht="24" customHeight="1">
      <x:c r="A664" s="1" t="inlineStr">
        <x:is>
          <x:t xml:space="preserve">RESULT</x:t>
        </x:is>
      </x:c>
      <x:c r="B664" s="1" t="inlineStr">
        <x:is>
          <x:t xml:space="preserve">Round1</x:t>
        </x:is>
      </x:c>
      <x:c r="C664" s="1" t="inlineStr">
        <x:is>
          <x:t xml:space="preserve">Lang_50</x:t>
        </x:is>
      </x:c>
      <x:c r="D664" s="1" t="inlineStr">
        <x:is>
          <x:t xml:space="preserve">NOT_AVAILABLE</x:t>
        </x:is>
      </x:c>
      <x:c r="E664" s="5"/>
      <x:c r="F664" s="4">
        <x:v>0</x:v>
      </x:c>
      <x:c r="G664" s="4">
        <x:v>10704</x:v>
      </x:c>
      <x:c r="H664" s="6">
        <x:v>91.45</x:v>
      </x:c>
      <x:c r="I664" s="16">
        <x:v>1</x:v>
      </x:c>
      <x:c r="J664"/>
      <x:c r="K664" s="4"/>
      <x:c r="L664" s="4"/>
      <x:c r="M664" s="4"/>
      <x:c r="N664" s="5"/>
    </x:row>
    <x:row r="665" ht="24" customHeight="1">
      <x:c r="A665" s="1" t="inlineStr">
        <x:is>
          <x:t xml:space="preserve">RESULT</x:t>
        </x:is>
      </x:c>
      <x:c r="B665" s="1" t="inlineStr">
        <x:is>
          <x:t xml:space="preserve">Round1</x:t>
        </x:is>
      </x:c>
      <x:c r="C665" s="1" t="inlineStr">
        <x:is>
          <x:t xml:space="preserve">Lang_51</x:t>
        </x:is>
      </x:c>
      <x:c r="D665" s="1" t="inlineStr">
        <x:is>
          <x:t xml:space="preserve">INCONCLUSIVE</x:t>
        </x:is>
      </x:c>
      <x:c r="E665" s="5">
        <x:v>0.9064</x:v>
      </x:c>
      <x:c r="F665" s="4">
        <x:v>0</x:v>
      </x:c>
      <x:c r="G665" s="4">
        <x:v>6775</x:v>
      </x:c>
      <x:c r="H665" s="6">
        <x:v>165.21</x:v>
      </x:c>
      <x:c r="I665" s="16">
        <x:v>1</x:v>
      </x:c>
      <x:c r="J665">
        <x:v>171</x:v>
      </x:c>
      <x:c r="K665" s="4">
        <x:v>155</x:v>
      </x:c>
      <x:c r="L665" s="4">
        <x:v>212</x:v>
      </x:c>
      <x:c r="M665" s="4">
        <x:v>161</x:v>
      </x:c>
      <x:c r="N665" s="5">
        <x:v>0.7594</x:v>
      </x:c>
    </x:row>
    <x:row r="666" ht="24" customHeight="1">
      <x:c r="A666" s="1" t="inlineStr">
        <x:is>
          <x:t xml:space="preserve">RESULT</x:t>
        </x:is>
      </x:c>
      <x:c r="B666" s="1" t="inlineStr">
        <x:is>
          <x:t xml:space="preserve">Round1</x:t>
        </x:is>
      </x:c>
      <x:c r="C666" s="1" t="inlineStr">
        <x:is>
          <x:t xml:space="preserve">Lang_52</x:t>
        </x:is>
      </x:c>
      <x:c r="D666" s="1" t="inlineStr">
        <x:is>
          <x:t xml:space="preserve">NOT_AVAILABLE</x:t>
        </x:is>
      </x:c>
      <x:c r="E666" s="5"/>
      <x:c r="F666" s="4">
        <x:v>0</x:v>
      </x:c>
      <x:c r="G666" s="4">
        <x:v>5674</x:v>
      </x:c>
      <x:c r="H666" s="6">
        <x:v>89.08</x:v>
      </x:c>
      <x:c r="I666" s="16">
        <x:v>1</x:v>
      </x:c>
      <x:c r="J666"/>
      <x:c r="K666" s="4"/>
      <x:c r="L666" s="4"/>
      <x:c r="M666" s="4"/>
      <x:c r="N666" s="5"/>
    </x:row>
    <x:row r="667" ht="24" customHeight="1">
      <x:c r="A667" s="1" t="inlineStr">
        <x:is>
          <x:t xml:space="preserve">RESULT</x:t>
        </x:is>
      </x:c>
      <x:c r="B667" s="1" t="inlineStr">
        <x:is>
          <x:t xml:space="preserve">Round1</x:t>
        </x:is>
      </x:c>
      <x:c r="C667" s="1" t="inlineStr">
        <x:is>
          <x:t xml:space="preserve">Lang_53</x:t>
        </x:is>
      </x:c>
      <x:c r="D667" s="1" t="inlineStr">
        <x:is>
          <x:t xml:space="preserve">NOT_AVAILABLE</x:t>
        </x:is>
      </x:c>
      <x:c r="E667" s="5"/>
      <x:c r="F667" s="4">
        <x:v>0</x:v>
      </x:c>
      <x:c r="G667" s="4">
        <x:v>7171</x:v>
      </x:c>
      <x:c r="H667" s="6">
        <x:v>92.39</x:v>
      </x:c>
      <x:c r="I667" s="16">
        <x:v>1</x:v>
      </x:c>
      <x:c r="J667"/>
      <x:c r="K667" s="4"/>
      <x:c r="L667" s="4"/>
      <x:c r="M667" s="4"/>
      <x:c r="N667" s="5"/>
    </x:row>
    <x:row r="668" ht="24" customHeight="1">
      <x:c r="A668" s="1" t="inlineStr">
        <x:is>
          <x:t xml:space="preserve">RESULT</x:t>
        </x:is>
      </x:c>
      <x:c r="B668" s="1" t="inlineStr">
        <x:is>
          <x:t xml:space="preserve">Round1</x:t>
        </x:is>
      </x:c>
      <x:c r="C668" s="1" t="inlineStr">
        <x:is>
          <x:t xml:space="preserve">Lang_54</x:t>
        </x:is>
      </x:c>
      <x:c r="D668" s="1" t="inlineStr">
        <x:is>
          <x:t xml:space="preserve">INCONCLUSIVE</x:t>
        </x:is>
      </x:c>
      <x:c r="E668" s="5">
        <x:v>0.9494</x:v>
      </x:c>
      <x:c r="F668" s="4">
        <x:v>0</x:v>
      </x:c>
      <x:c r="G668" s="4">
        <x:v>6112</x:v>
      </x:c>
      <x:c r="H668" s="6">
        <x:v>72.42</x:v>
      </x:c>
      <x:c r="I668" s="16">
        <x:v>1</x:v>
      </x:c>
      <x:c r="J668">
        <x:v>79</x:v>
      </x:c>
      <x:c r="K668" s="4">
        <x:v>75</x:v>
      </x:c>
      <x:c r="L668" s="4">
        <x:v>64</x:v>
      </x:c>
      <x:c r="M668" s="4">
        <x:v>52</x:v>
      </x:c>
      <x:c r="N668" s="5">
        <x:v>0.8125</x:v>
      </x:c>
    </x:row>
    <x:row r="669" ht="24" customHeight="1">
      <x:c r="A669" s="1" t="inlineStr">
        <x:is>
          <x:t xml:space="preserve">RESULT</x:t>
        </x:is>
      </x:c>
      <x:c r="B669" s="1" t="inlineStr">
        <x:is>
          <x:t xml:space="preserve">Round1</x:t>
        </x:is>
      </x:c>
      <x:c r="C669" s="1" t="inlineStr">
        <x:is>
          <x:t xml:space="preserve">Lang_55</x:t>
        </x:is>
      </x:c>
      <x:c r="D669" s="1" t="inlineStr">
        <x:is>
          <x:t xml:space="preserve">INCONCLUSIVE</x:t>
        </x:is>
      </x:c>
      <x:c r="E669" s="5">
        <x:v>0.9298000000000001</x:v>
      </x:c>
      <x:c r="F669" s="4">
        <x:v>0</x:v>
      </x:c>
      <x:c r="G669" s="4">
        <x:v>5316</x:v>
      </x:c>
      <x:c r="H669" s="6">
        <x:v>57.39</x:v>
      </x:c>
      <x:c r="I669" s="16">
        <x:v>1</x:v>
      </x:c>
      <x:c r="J669">
        <x:v>57</x:v>
      </x:c>
      <x:c r="K669" s="4">
        <x:v>53</x:v>
      </x:c>
      <x:c r="L669" s="4">
        <x:v>26</x:v>
      </x:c>
      <x:c r="M669" s="4">
        <x:v>23</x:v>
      </x:c>
      <x:c r="N669" s="5">
        <x:v>0.8845999999999999</x:v>
      </x:c>
    </x:row>
    <x:row r="670" ht="24" customHeight="1">
      <x:c r="A670" s="1" t="inlineStr">
        <x:is>
          <x:t xml:space="preserve">RESULT</x:t>
        </x:is>
      </x:c>
      <x:c r="B670" s="1" t="inlineStr">
        <x:is>
          <x:t xml:space="preserve">Round1</x:t>
        </x:is>
      </x:c>
      <x:c r="C670" s="1" t="inlineStr">
        <x:is>
          <x:t xml:space="preserve">Lang_56</x:t>
        </x:is>
      </x:c>
      <x:c r="D670" s="1" t="inlineStr">
        <x:is>
          <x:t xml:space="preserve">NOT_AVAILABLE</x:t>
        </x:is>
      </x:c>
      <x:c r="E670" s="5"/>
      <x:c r="F670" s="4">
        <x:v>0</x:v>
      </x:c>
      <x:c r="G670" s="4">
        <x:v>10417</x:v>
      </x:c>
      <x:c r="H670" s="6">
        <x:v>84.85</x:v>
      </x:c>
      <x:c r="I670" s="16">
        <x:v>1</x:v>
      </x:c>
      <x:c r="J670"/>
      <x:c r="K670" s="4"/>
      <x:c r="L670" s="4"/>
      <x:c r="M670" s="4"/>
      <x:c r="N670" s="5"/>
    </x:row>
    <x:row r="671" ht="24" customHeight="1">
      <x:c r="A671" s="1" t="inlineStr">
        <x:is>
          <x:t xml:space="preserve">RESULT</x:t>
        </x:is>
      </x:c>
      <x:c r="B671" s="1" t="inlineStr">
        <x:is>
          <x:t xml:space="preserve">Round1</x:t>
        </x:is>
      </x:c>
      <x:c r="C671" s="1" t="inlineStr">
        <x:is>
          <x:t xml:space="preserve">Lang_57</x:t>
        </x:is>
      </x:c>
      <x:c r="D671" s="1" t="inlineStr">
        <x:is>
          <x:t xml:space="preserve">INCONCLUSIVE</x:t>
        </x:is>
      </x:c>
      <x:c r="E671" s="5">
        <x:v>0.9747</x:v>
      </x:c>
      <x:c r="F671" s="4">
        <x:v>0</x:v>
      </x:c>
      <x:c r="G671" s="4">
        <x:v>5331</x:v>
      </x:c>
      <x:c r="H671" s="6">
        <x:v>45.83</x:v>
      </x:c>
      <x:c r="I671" s="16">
        <x:v>1</x:v>
      </x:c>
      <x:c r="J671">
        <x:v>79</x:v>
      </x:c>
      <x:c r="K671" s="4">
        <x:v>77</x:v>
      </x:c>
      <x:c r="L671" s="4">
        <x:v>64</x:v>
      </x:c>
      <x:c r="M671" s="4">
        <x:v>53</x:v>
      </x:c>
      <x:c r="N671" s="5">
        <x:v>0.8281000000000001</x:v>
      </x:c>
    </x:row>
    <x:row r="672" ht="24" customHeight="1">
      <x:c r="A672" s="1" t="inlineStr">
        <x:is>
          <x:t xml:space="preserve">RESULT</x:t>
        </x:is>
      </x:c>
      <x:c r="B672" s="1" t="inlineStr">
        <x:is>
          <x:t xml:space="preserve">Round1</x:t>
        </x:is>
      </x:c>
      <x:c r="C672" s="1" t="inlineStr">
        <x:is>
          <x:t xml:space="preserve">Lang_58</x:t>
        </x:is>
      </x:c>
      <x:c r="D672" s="1" t="inlineStr">
        <x:is>
          <x:t xml:space="preserve">INCONCLUSIVE</x:t>
        </x:is>
      </x:c>
      <x:c r="E672" s="5">
        <x:v>0.8069</x:v>
      </x:c>
      <x:c r="F672" s="4">
        <x:v>0</x:v>
      </x:c>
      <x:c r="G672" s="4">
        <x:v>10881</x:v>
      </x:c>
      <x:c r="H672" s="6">
        <x:v>134.08</x:v>
      </x:c>
      <x:c r="I672" s="16">
        <x:v>1</x:v>
      </x:c>
      <x:c r="J672">
        <x:v>435</x:v>
      </x:c>
      <x:c r="K672" s="4">
        <x:v>351</x:v>
      </x:c>
      <x:c r="L672" s="4">
        <x:v>420</x:v>
      </x:c>
      <x:c r="M672" s="4">
        <x:v>289</x:v>
      </x:c>
      <x:c r="N672" s="5">
        <x:v>0.6881</x:v>
      </x:c>
    </x:row>
    <x:row r="673" ht="24" customHeight="1">
      <x:c r="A673" s="1" t="inlineStr">
        <x:is>
          <x:t xml:space="preserve">RESULT</x:t>
        </x:is>
      </x:c>
      <x:c r="B673" s="1" t="inlineStr">
        <x:is>
          <x:t xml:space="preserve">Round1</x:t>
        </x:is>
      </x:c>
      <x:c r="C673" s="1" t="inlineStr">
        <x:is>
          <x:t xml:space="preserve">Lang_59</x:t>
        </x:is>
      </x:c>
      <x:c r="D673" s="1" t="inlineStr">
        <x:is>
          <x:t xml:space="preserve">NOT_AVAILABLE</x:t>
        </x:is>
      </x:c>
      <x:c r="E673" s="5"/>
      <x:c r="F673" s="4">
        <x:v>0</x:v>
      </x:c>
      <x:c r="G673" s="4">
        <x:v>16235</x:v>
      </x:c>
      <x:c r="H673" s="6">
        <x:v>219.76</x:v>
      </x:c>
      <x:c r="I673" s="16">
        <x:v>1</x:v>
      </x:c>
      <x:c r="J673"/>
      <x:c r="K673" s="4"/>
      <x:c r="L673" s="4"/>
      <x:c r="M673" s="4"/>
      <x:c r="N673" s="5"/>
    </x:row>
    <x:row r="674" ht="24" customHeight="1">
      <x:c r="A674" s="1" t="inlineStr">
        <x:is>
          <x:t xml:space="preserve">RESULT</x:t>
        </x:is>
      </x:c>
      <x:c r="B674" s="1" t="inlineStr">
        <x:is>
          <x:t xml:space="preserve">Round1</x:t>
        </x:is>
      </x:c>
      <x:c r="C674" s="1" t="inlineStr">
        <x:is>
          <x:t xml:space="preserve">Lang_6</x:t>
        </x:is>
      </x:c>
      <x:c r="D674" s="1" t="inlineStr">
        <x:is>
          <x:t xml:space="preserve">INCONCLUSIVE</x:t>
        </x:is>
      </x:c>
      <x:c r="E674" s="5">
        <x:v>1.0</x:v>
      </x:c>
      <x:c r="F674" s="4">
        <x:v>0</x:v>
      </x:c>
      <x:c r="G674" s="4">
        <x:v>3519</x:v>
      </x:c>
      <x:c r="H674" s="6">
        <x:v>44.42</x:v>
      </x:c>
      <x:c r="I674" s="16">
        <x:v>1</x:v>
      </x:c>
      <x:c r="J674">
        <x:v>30</x:v>
      </x:c>
      <x:c r="K674" s="4">
        <x:v>30</x:v>
      </x:c>
      <x:c r="L674" s="4">
        <x:v>12</x:v>
      </x:c>
      <x:c r="M674" s="4">
        <x:v>12</x:v>
      </x:c>
      <x:c r="N674" s="5">
        <x:v>1.0</x:v>
      </x:c>
    </x:row>
    <x:row r="675" ht="24" customHeight="1">
      <x:c r="A675" s="1" t="inlineStr">
        <x:is>
          <x:t xml:space="preserve">RESULT</x:t>
        </x:is>
      </x:c>
      <x:c r="B675" s="1" t="inlineStr">
        <x:is>
          <x:t xml:space="preserve">Round1</x:t>
        </x:is>
      </x:c>
      <x:c r="C675" s="1" t="inlineStr">
        <x:is>
          <x:t xml:space="preserve">Lang_60</x:t>
        </x:is>
      </x:c>
      <x:c r="D675" s="1" t="inlineStr">
        <x:is>
          <x:t xml:space="preserve">NOT_AVAILABLE</x:t>
        </x:is>
      </x:c>
      <x:c r="E675" s="5"/>
      <x:c r="F675" s="4">
        <x:v>0</x:v>
      </x:c>
      <x:c r="G675" s="4">
        <x:v>12568</x:v>
      </x:c>
      <x:c r="H675" s="6">
        <x:v>102.97</x:v>
      </x:c>
      <x:c r="I675" s="16">
        <x:v>1</x:v>
      </x:c>
      <x:c r="J675"/>
      <x:c r="K675" s="4"/>
      <x:c r="L675" s="4"/>
      <x:c r="M675" s="4"/>
      <x:c r="N675" s="5"/>
    </x:row>
    <x:row r="676" ht="24" customHeight="1">
      <x:c r="A676" s="1" t="inlineStr">
        <x:is>
          <x:t xml:space="preserve">RESULT</x:t>
        </x:is>
      </x:c>
      <x:c r="B676" s="1" t="inlineStr">
        <x:is>
          <x:t xml:space="preserve">Round1</x:t>
        </x:is>
      </x:c>
      <x:c r="C676" s="1" t="inlineStr">
        <x:is>
          <x:t xml:space="preserve">Lang_61</x:t>
        </x:is>
      </x:c>
      <x:c r="D676" s="1" t="inlineStr">
        <x:is>
          <x:t xml:space="preserve">NOT_AVAILABLE</x:t>
        </x:is>
      </x:c>
      <x:c r="E676" s="5"/>
      <x:c r="F676" s="4">
        <x:v>0</x:v>
      </x:c>
      <x:c r="G676" s="4">
        <x:v>13335</x:v>
      </x:c>
      <x:c r="H676" s="6">
        <x:v>127.31</x:v>
      </x:c>
      <x:c r="I676" s="16">
        <x:v>1</x:v>
      </x:c>
      <x:c r="J676"/>
      <x:c r="K676" s="4"/>
      <x:c r="L676" s="4"/>
      <x:c r="M676" s="4"/>
      <x:c r="N676" s="5"/>
    </x:row>
    <x:row r="677" ht="24" customHeight="1">
      <x:c r="A677" s="1" t="inlineStr">
        <x:is>
          <x:t xml:space="preserve">RESULT</x:t>
        </x:is>
      </x:c>
      <x:c r="B677" s="1" t="inlineStr">
        <x:is>
          <x:t xml:space="preserve">Round1</x:t>
        </x:is>
      </x:c>
      <x:c r="C677" s="1" t="inlineStr">
        <x:is>
          <x:t xml:space="preserve">Lang_62</x:t>
        </x:is>
      </x:c>
      <x:c r="D677" s="1" t="inlineStr">
        <x:is>
          <x:t xml:space="preserve">NOT_AVAILABLE</x:t>
        </x:is>
      </x:c>
      <x:c r="E677" s="5"/>
      <x:c r="F677" s="4">
        <x:v>0</x:v>
      </x:c>
      <x:c r="G677" s="4">
        <x:v>8350</x:v>
      </x:c>
      <x:c r="H677" s="6">
        <x:v>74.19</x:v>
      </x:c>
      <x:c r="I677" s="16">
        <x:v>1</x:v>
      </x:c>
      <x:c r="J677"/>
      <x:c r="K677" s="4"/>
      <x:c r="L677" s="4"/>
      <x:c r="M677" s="4"/>
      <x:c r="N677" s="5"/>
    </x:row>
    <x:row r="678" ht="24" customHeight="1">
      <x:c r="A678" s="1" t="inlineStr">
        <x:is>
          <x:t xml:space="preserve">RESULT</x:t>
        </x:is>
      </x:c>
      <x:c r="B678" s="1" t="inlineStr">
        <x:is>
          <x:t xml:space="preserve">Round1</x:t>
        </x:is>
      </x:c>
      <x:c r="C678" s="1" t="inlineStr">
        <x:is>
          <x:t xml:space="preserve">Lang_63</x:t>
        </x:is>
      </x:c>
      <x:c r="D678" s="1" t="inlineStr">
        <x:is>
          <x:t xml:space="preserve">INCONCLUSIVE</x:t>
        </x:is>
      </x:c>
      <x:c r="E678" s="5">
        <x:v>0.6349</x:v>
      </x:c>
      <x:c r="F678" s="4">
        <x:v>0</x:v>
      </x:c>
      <x:c r="G678" s="4">
        <x:v>8614</x:v>
      </x:c>
      <x:c r="H678" s="6">
        <x:v>56.65</x:v>
      </x:c>
      <x:c r="I678" s="16">
        <x:v>1</x:v>
      </x:c>
      <x:c r="J678">
        <x:v>252</x:v>
      </x:c>
      <x:c r="K678" s="4">
        <x:v>160</x:v>
      </x:c>
      <x:c r="L678" s="4">
        <x:v>135</x:v>
      </x:c>
      <x:c r="M678" s="4">
        <x:v>82</x:v>
      </x:c>
      <x:c r="N678" s="5">
        <x:v>0.6074</x:v>
      </x:c>
    </x:row>
    <x:row r="679" ht="24" customHeight="1">
      <x:c r="A679" s="1" t="inlineStr">
        <x:is>
          <x:t xml:space="preserve">RESULT</x:t>
        </x:is>
      </x:c>
      <x:c r="B679" s="1" t="inlineStr">
        <x:is>
          <x:t xml:space="preserve">Round1</x:t>
        </x:is>
      </x:c>
      <x:c r="C679" s="1" t="inlineStr">
        <x:is>
          <x:t xml:space="preserve">Lang_64</x:t>
        </x:is>
      </x:c>
      <x:c r="D679" s="1" t="inlineStr">
        <x:is>
          <x:t xml:space="preserve">INCONCLUSIVE</x:t>
        </x:is>
      </x:c>
      <x:c r="E679" s="5">
        <x:v>0.22219999999999998</x:v>
      </x:c>
      <x:c r="F679" s="4">
        <x:v>0</x:v>
      </x:c>
      <x:c r="G679" s="4">
        <x:v>4129</x:v>
      </x:c>
      <x:c r="H679" s="6">
        <x:v>32.11</x:v>
      </x:c>
      <x:c r="I679" s="16">
        <x:v>1</x:v>
      </x:c>
      <x:c r="J679">
        <x:v>18</x:v>
      </x:c>
      <x:c r="K679" s="4">
        <x:v>4</x:v>
      </x:c>
      <x:c r="L679" s="4">
        <x:v>8</x:v>
      </x:c>
      <x:c r="M679" s="4">
        <x:v>0</x:v>
      </x:c>
      <x:c r="N679" s="5">
        <x:v>0.0</x:v>
      </x:c>
    </x:row>
    <x:row r="680" ht="24" customHeight="1">
      <x:c r="A680" s="1" t="inlineStr">
        <x:is>
          <x:t xml:space="preserve">RESULT</x:t>
        </x:is>
      </x:c>
      <x:c r="B680" s="1" t="inlineStr">
        <x:is>
          <x:t xml:space="preserve">Round1</x:t>
        </x:is>
      </x:c>
      <x:c r="C680" s="1" t="inlineStr">
        <x:is>
          <x:t xml:space="preserve">Lang_65</x:t>
        </x:is>
      </x:c>
      <x:c r="D680" s="1" t="inlineStr">
        <x:is>
          <x:t xml:space="preserve">NOT_AVAILABLE</x:t>
        </x:is>
      </x:c>
      <x:c r="E680" s="5"/>
      <x:c r="F680" s="4">
        <x:v>0</x:v>
      </x:c>
      <x:c r="G680" s="4">
        <x:v>8466</x:v>
      </x:c>
      <x:c r="H680" s="6">
        <x:v>113.09</x:v>
      </x:c>
      <x:c r="I680" s="16">
        <x:v>1</x:v>
      </x:c>
      <x:c r="J680"/>
      <x:c r="K680" s="4"/>
      <x:c r="L680" s="4"/>
      <x:c r="M680" s="4"/>
      <x:c r="N680" s="5"/>
    </x:row>
    <x:row r="681" ht="24" customHeight="1">
      <x:c r="A681" s="1" t="inlineStr">
        <x:is>
          <x:t xml:space="preserve">RESULT</x:t>
        </x:is>
      </x:c>
      <x:c r="B681" s="1" t="inlineStr">
        <x:is>
          <x:t xml:space="preserve">Round1</x:t>
        </x:is>
      </x:c>
      <x:c r="C681" s="1" t="inlineStr">
        <x:is>
          <x:t xml:space="preserve">Lang_7</x:t>
        </x:is>
      </x:c>
      <x:c r="D681" s="1" t="inlineStr">
        <x:is>
          <x:t xml:space="preserve">INCONCLUSIVE</x:t>
        </x:is>
      </x:c>
      <x:c r="E681" s="5">
        <x:v>0.7237</x:v>
      </x:c>
      <x:c r="F681" s="4">
        <x:v>0</x:v>
      </x:c>
      <x:c r="G681" s="4">
        <x:v>8896</x:v>
      </x:c>
      <x:c r="H681" s="6">
        <x:v>88.23</x:v>
      </x:c>
      <x:c r="I681" s="16">
        <x:v>1</x:v>
      </x:c>
      <x:c r="J681">
        <x:v>380</x:v>
      </x:c>
      <x:c r="K681" s="4">
        <x:v>275</x:v>
      </x:c>
      <x:c r="L681" s="4">
        <x:v>366</x:v>
      </x:c>
      <x:c r="M681" s="4">
        <x:v>200</x:v>
      </x:c>
      <x:c r="N681" s="5">
        <x:v>0.5464</x:v>
      </x:c>
    </x:row>
    <x:row r="682" ht="24" customHeight="1">
      <x:c r="A682" s="1" t="inlineStr">
        <x:is>
          <x:t xml:space="preserve">RESULT</x:t>
        </x:is>
      </x:c>
      <x:c r="B682" s="1" t="inlineStr">
        <x:is>
          <x:t xml:space="preserve">Round1</x:t>
        </x:is>
      </x:c>
      <x:c r="C682" s="1" t="inlineStr">
        <x:is>
          <x:t xml:space="preserve">Lang_8</x:t>
        </x:is>
      </x:c>
      <x:c r="D682" s="1" t="inlineStr">
        <x:is>
          <x:t xml:space="preserve">NOT_REVEALING</x:t>
        </x:is>
      </x:c>
      <x:c r="E682" s="5">
        <x:v>0.6291</x:v>
      </x:c>
      <x:c r="F682" s="4">
        <x:v>0</x:v>
      </x:c>
      <x:c r="G682" s="4">
        <x:v>8064</x:v>
      </x:c>
      <x:c r="H682" s="6">
        <x:v>57.8</x:v>
      </x:c>
      <x:c r="I682" s="16">
        <x:v>1</x:v>
      </x:c>
      <x:c r="J682">
        <x:v>337</x:v>
      </x:c>
      <x:c r="K682" s="4">
        <x:v>212</x:v>
      </x:c>
      <x:c r="L682" s="4">
        <x:v>150</x:v>
      </x:c>
      <x:c r="M682" s="4">
        <x:v>80</x:v>
      </x:c>
      <x:c r="N682" s="5">
        <x:v>0.5333</x:v>
      </x:c>
    </x:row>
    <x:row r="683" ht="24" customHeight="1">
      <x:c r="A683" s="1" t="inlineStr">
        <x:is>
          <x:t xml:space="preserve">RESULT</x:t>
        </x:is>
      </x:c>
      <x:c r="B683" s="1" t="inlineStr">
        <x:is>
          <x:t xml:space="preserve">Round1</x:t>
        </x:is>
      </x:c>
      <x:c r="C683" s="1" t="inlineStr">
        <x:is>
          <x:t xml:space="preserve">Lang_9</x:t>
        </x:is>
      </x:c>
      <x:c r="D683" s="1" t="inlineStr">
        <x:is>
          <x:t xml:space="preserve">NOT_AVAILABLE</x:t>
        </x:is>
      </x:c>
      <x:c r="E683" s="5"/>
      <x:c r="F683" s="4">
        <x:v>0</x:v>
      </x:c>
      <x:c r="G683" s="4">
        <x:v>6849</x:v>
      </x:c>
      <x:c r="H683" s="6">
        <x:v>38.82</x:v>
      </x:c>
      <x:c r="I683" s="16">
        <x:v>1</x:v>
      </x:c>
      <x:c r="J683"/>
      <x:c r="K683" s="4"/>
      <x:c r="L683" s="4"/>
      <x:c r="M683" s="4"/>
      <x:c r="N683" s="5"/>
    </x:row>
    <x:row r="684" ht="24" customHeight="1">
      <x:c r="A684" s="1" t="inlineStr">
        <x:is>
          <x:t xml:space="preserve">RESULT</x:t>
        </x:is>
      </x:c>
      <x:c r="B684" s="1" t="inlineStr">
        <x:is>
          <x:t xml:space="preserve">Round1</x:t>
        </x:is>
      </x:c>
      <x:c r="C684" s="1" t="inlineStr">
        <x:is>
          <x:t xml:space="preserve">Math_1</x:t>
        </x:is>
      </x:c>
      <x:c r="D684" s="1" t="inlineStr">
        <x:is>
          <x:t xml:space="preserve">INCONCLUSIVE</x:t>
        </x:is>
      </x:c>
      <x:c r="E684" s="5">
        <x:v>0.8493999999999999</x:v>
      </x:c>
      <x:c r="F684" s="4">
        <x:v>0</x:v>
      </x:c>
      <x:c r="G684" s="4">
        <x:v>18053</x:v>
      </x:c>
      <x:c r="H684" s="6">
        <x:v>218.08</x:v>
      </x:c>
      <x:c r="I684" s="16">
        <x:v>1</x:v>
      </x:c>
      <x:c r="J684">
        <x:v>425</x:v>
      </x:c>
      <x:c r="K684" s="4">
        <x:v>361</x:v>
      </x:c>
      <x:c r="L684" s="4">
        <x:v>192</x:v>
      </x:c>
      <x:c r="M684" s="4">
        <x:v>151</x:v>
      </x:c>
      <x:c r="N684" s="5">
        <x:v>0.7865000000000001</x:v>
      </x:c>
    </x:row>
    <x:row r="685" ht="24" customHeight="1">
      <x:c r="A685" s="1" t="inlineStr">
        <x:is>
          <x:t xml:space="preserve">RESULT</x:t>
        </x:is>
      </x:c>
      <x:c r="B685" s="1" t="inlineStr">
        <x:is>
          <x:t xml:space="preserve">Round1</x:t>
        </x:is>
      </x:c>
      <x:c r="C685" s="1" t="inlineStr">
        <x:is>
          <x:t xml:space="preserve">Math_10</x:t>
        </x:is>
      </x:c>
      <x:c r="D685" s="1" t="inlineStr">
        <x:is>
          <x:t xml:space="preserve">INCONCLUSIVE</x:t>
        </x:is>
      </x:c>
      <x:c r="E685" s="5">
        <x:v>0.8170000000000001</x:v>
      </x:c>
      <x:c r="F685" s="4">
        <x:v>0</x:v>
      </x:c>
      <x:c r="G685" s="4">
        <x:v>15534</x:v>
      </x:c>
      <x:c r="H685" s="6">
        <x:v>167.34</x:v>
      </x:c>
      <x:c r="I685" s="16">
        <x:v>1</x:v>
      </x:c>
      <x:c r="J685">
        <x:v>552</x:v>
      </x:c>
      <x:c r="K685" s="4">
        <x:v>451</x:v>
      </x:c>
      <x:c r="L685" s="4">
        <x:v>286</x:v>
      </x:c>
      <x:c r="M685" s="4">
        <x:v>189</x:v>
      </x:c>
      <x:c r="N685" s="5">
        <x:v>0.6607999999999999</x:v>
      </x:c>
    </x:row>
    <x:row r="686" ht="24" customHeight="1">
      <x:c r="A686" s="1" t="inlineStr">
        <x:is>
          <x:t xml:space="preserve">RESULT</x:t>
        </x:is>
      </x:c>
      <x:c r="B686" s="1" t="inlineStr">
        <x:is>
          <x:t xml:space="preserve">Round1</x:t>
        </x:is>
      </x:c>
      <x:c r="C686" s="1" t="inlineStr">
        <x:is>
          <x:t xml:space="preserve">Math_100</x:t>
        </x:is>
      </x:c>
      <x:c r="D686" s="1" t="inlineStr">
        <x:is>
          <x:t xml:space="preserve">NOT_AVAILABLE</x:t>
        </x:is>
      </x:c>
      <x:c r="E686" s="5"/>
      <x:c r="F686" s="4">
        <x:v>0</x:v>
      </x:c>
      <x:c r="G686" s="4">
        <x:v>6057</x:v>
      </x:c>
      <x:c r="H686" s="6">
        <x:v>79.3</x:v>
      </x:c>
      <x:c r="I686" s="16">
        <x:v>1</x:v>
      </x:c>
      <x:c r="J686"/>
      <x:c r="K686" s="4"/>
      <x:c r="L686" s="4"/>
      <x:c r="M686" s="4"/>
      <x:c r="N686" s="5"/>
    </x:row>
    <x:row r="687" ht="24" customHeight="1">
      <x:c r="A687" s="1" t="inlineStr">
        <x:is>
          <x:t xml:space="preserve">RESULT</x:t>
        </x:is>
      </x:c>
      <x:c r="B687" s="1" t="inlineStr">
        <x:is>
          <x:t xml:space="preserve">Round1</x:t>
        </x:is>
      </x:c>
      <x:c r="C687" s="1" t="inlineStr">
        <x:is>
          <x:t xml:space="preserve">Math_101</x:t>
        </x:is>
      </x:c>
      <x:c r="D687" s="1" t="inlineStr">
        <x:is>
          <x:t xml:space="preserve">NOT_REVEALING</x:t>
        </x:is>
      </x:c>
      <x:c r="E687" s="5">
        <x:v>0.951</x:v>
      </x:c>
      <x:c r="F687" s="4">
        <x:v>0</x:v>
      </x:c>
      <x:c r="G687" s="4">
        <x:v>7866</x:v>
      </x:c>
      <x:c r="H687" s="6">
        <x:v>81.36</x:v>
      </x:c>
      <x:c r="I687" s="16">
        <x:v>1</x:v>
      </x:c>
      <x:c r="J687">
        <x:v>143</x:v>
      </x:c>
      <x:c r="K687" s="4">
        <x:v>136</x:v>
      </x:c>
      <x:c r="L687" s="4">
        <x:v>52</x:v>
      </x:c>
      <x:c r="M687" s="4">
        <x:v>49</x:v>
      </x:c>
      <x:c r="N687" s="5">
        <x:v>0.9423</x:v>
      </x:c>
    </x:row>
    <x:row r="688" ht="24" customHeight="1">
      <x:c r="A688" s="1" t="inlineStr">
        <x:is>
          <x:t xml:space="preserve">RESULT</x:t>
        </x:is>
      </x:c>
      <x:c r="B688" s="1" t="inlineStr">
        <x:is>
          <x:t xml:space="preserve">Round1</x:t>
        </x:is>
      </x:c>
      <x:c r="C688" s="1" t="inlineStr">
        <x:is>
          <x:t xml:space="preserve">Math_102</x:t>
        </x:is>
      </x:c>
      <x:c r="D688" s="1" t="inlineStr">
        <x:is>
          <x:t xml:space="preserve">NOT_AVAILABLE</x:t>
        </x:is>
      </x:c>
      <x:c r="E688" s="5"/>
      <x:c r="F688" s="4">
        <x:v>0</x:v>
      </x:c>
      <x:c r="G688" s="4">
        <x:v>6252</x:v>
      </x:c>
      <x:c r="H688" s="6">
        <x:v>53.28</x:v>
      </x:c>
      <x:c r="I688" s="16">
        <x:v>1</x:v>
      </x:c>
      <x:c r="J688"/>
      <x:c r="K688" s="4"/>
      <x:c r="L688" s="4"/>
      <x:c r="M688" s="4"/>
      <x:c r="N688" s="5"/>
    </x:row>
    <x:row r="689" ht="24" customHeight="1">
      <x:c r="A689" s="1" t="inlineStr">
        <x:is>
          <x:t xml:space="preserve">RESULT</x:t>
        </x:is>
      </x:c>
      <x:c r="B689" s="1" t="inlineStr">
        <x:is>
          <x:t xml:space="preserve">Round1</x:t>
        </x:is>
      </x:c>
      <x:c r="C689" s="1" t="inlineStr">
        <x:is>
          <x:t xml:space="preserve">Math_103</x:t>
        </x:is>
      </x:c>
      <x:c r="D689" s="1" t="inlineStr">
        <x:is>
          <x:t xml:space="preserve">INCONCLUSIVE</x:t>
        </x:is>
      </x:c>
      <x:c r="E689" s="5">
        <x:v>1.0</x:v>
      </x:c>
      <x:c r="F689" s="4">
        <x:v>0</x:v>
      </x:c>
      <x:c r="G689" s="4">
        <x:v>5023</x:v>
      </x:c>
      <x:c r="H689" s="6">
        <x:v>75.07</x:v>
      </x:c>
      <x:c r="I689" s="16">
        <x:v>1</x:v>
      </x:c>
      <x:c r="J689">
        <x:v>37</x:v>
      </x:c>
      <x:c r="K689" s="4">
        <x:v>37</x:v>
      </x:c>
      <x:c r="L689" s="4">
        <x:v>14</x:v>
      </x:c>
      <x:c r="M689" s="4">
        <x:v>14</x:v>
      </x:c>
      <x:c r="N689" s="5">
        <x:v>1.0</x:v>
      </x:c>
    </x:row>
    <x:row r="690" ht="24" customHeight="1">
      <x:c r="A690" s="1" t="inlineStr">
        <x:is>
          <x:t xml:space="preserve">RESULT</x:t>
        </x:is>
      </x:c>
      <x:c r="B690" s="1" t="inlineStr">
        <x:is>
          <x:t xml:space="preserve">Round1</x:t>
        </x:is>
      </x:c>
      <x:c r="C690" s="1" t="inlineStr">
        <x:is>
          <x:t xml:space="preserve">Math_104</x:t>
        </x:is>
      </x:c>
      <x:c r="D690" s="1" t="inlineStr">
        <x:is>
          <x:t xml:space="preserve">INCONCLUSIVE</x:t>
        </x:is>
      </x:c>
      <x:c r="E690" s="5">
        <x:v>0.8936</x:v>
      </x:c>
      <x:c r="F690" s="4">
        <x:v>0</x:v>
      </x:c>
      <x:c r="G690" s="4">
        <x:v>5625</x:v>
      </x:c>
      <x:c r="H690" s="6">
        <x:v>75.51</x:v>
      </x:c>
      <x:c r="I690" s="16">
        <x:v>1</x:v>
      </x:c>
      <x:c r="J690">
        <x:v>47</x:v>
      </x:c>
      <x:c r="K690" s="4">
        <x:v>42</x:v>
      </x:c>
      <x:c r="L690" s="4">
        <x:v>40</x:v>
      </x:c>
      <x:c r="M690" s="4">
        <x:v>36</x:v>
      </x:c>
      <x:c r="N690" s="5">
        <x:v>0.9</x:v>
      </x:c>
    </x:row>
    <x:row r="691" ht="24" customHeight="1">
      <x:c r="A691" s="1" t="inlineStr">
        <x:is>
          <x:t xml:space="preserve">RESULT</x:t>
        </x:is>
      </x:c>
      <x:c r="B691" s="1" t="inlineStr">
        <x:is>
          <x:t xml:space="preserve">Round1</x:t>
        </x:is>
      </x:c>
      <x:c r="C691" s="1" t="inlineStr">
        <x:is>
          <x:t xml:space="preserve">Math_105</x:t>
        </x:is>
      </x:c>
      <x:c r="D691" s="1" t="inlineStr">
        <x:is>
          <x:t xml:space="preserve">INCONCLUSIVE</x:t>
        </x:is>
      </x:c>
      <x:c r="E691" s="5">
        <x:v>1.0</x:v>
      </x:c>
      <x:c r="F691" s="4">
        <x:v>0</x:v>
      </x:c>
      <x:c r="G691" s="4">
        <x:v>9520</x:v>
      </x:c>
      <x:c r="H691" s="6">
        <x:v>131.9</x:v>
      </x:c>
      <x:c r="I691" s="16">
        <x:v>1</x:v>
      </x:c>
      <x:c r="J691">
        <x:v>71</x:v>
      </x:c>
      <x:c r="K691" s="4">
        <x:v>71</x:v>
      </x:c>
      <x:c r="L691" s="4">
        <x:v>18</x:v>
      </x:c>
      <x:c r="M691" s="4">
        <x:v>18</x:v>
      </x:c>
      <x:c r="N691" s="5">
        <x:v>1.0</x:v>
      </x:c>
    </x:row>
    <x:row r="692" ht="24" customHeight="1">
      <x:c r="A692" s="1" t="inlineStr">
        <x:is>
          <x:t xml:space="preserve">RESULT</x:t>
        </x:is>
      </x:c>
      <x:c r="B692" s="1" t="inlineStr">
        <x:is>
          <x:t xml:space="preserve">Round1</x:t>
        </x:is>
      </x:c>
      <x:c r="C692" s="1" t="inlineStr">
        <x:is>
          <x:t xml:space="preserve">Math_106</x:t>
        </x:is>
      </x:c>
      <x:c r="D692" s="1" t="inlineStr">
        <x:is>
          <x:t xml:space="preserve">INCONCLUSIVE</x:t>
        </x:is>
      </x:c>
      <x:c r="E692" s="5">
        <x:v>0.8946999999999999</x:v>
      </x:c>
      <x:c r="F692" s="4">
        <x:v>0</x:v>
      </x:c>
      <x:c r="G692" s="4">
        <x:v>4637</x:v>
      </x:c>
      <x:c r="H692" s="6">
        <x:v>48.16</x:v>
      </x:c>
      <x:c r="I692" s="16">
        <x:v>1</x:v>
      </x:c>
      <x:c r="J692">
        <x:v>57</x:v>
      </x:c>
      <x:c r="K692" s="4">
        <x:v>51</x:v>
      </x:c>
      <x:c r="L692" s="4">
        <x:v>15</x:v>
      </x:c>
      <x:c r="M692" s="4">
        <x:v>12</x:v>
      </x:c>
      <x:c r="N692" s="5">
        <x:v>0.8</x:v>
      </x:c>
    </x:row>
    <x:row r="693" ht="24" customHeight="1">
      <x:c r="A693" s="1" t="inlineStr">
        <x:is>
          <x:t xml:space="preserve">RESULT</x:t>
        </x:is>
      </x:c>
      <x:c r="B693" s="1" t="inlineStr">
        <x:is>
          <x:t xml:space="preserve">Round1</x:t>
        </x:is>
      </x:c>
      <x:c r="C693" s="1" t="inlineStr">
        <x:is>
          <x:t xml:space="preserve">Math_11</x:t>
        </x:is>
      </x:c>
      <x:c r="D693" s="1" t="inlineStr">
        <x:is>
          <x:t xml:space="preserve">NOT_AVAILABLE</x:t>
        </x:is>
      </x:c>
      <x:c r="E693" s="5"/>
      <x:c r="F693" s="4">
        <x:v>0</x:v>
      </x:c>
      <x:c r="G693" s="4">
        <x:v>5985</x:v>
      </x:c>
      <x:c r="H693" s="6">
        <x:v>97.52</x:v>
      </x:c>
      <x:c r="I693" s="16">
        <x:v>1</x:v>
      </x:c>
      <x:c r="J693"/>
      <x:c r="K693" s="4"/>
      <x:c r="L693" s="4"/>
      <x:c r="M693" s="4"/>
      <x:c r="N693" s="5"/>
    </x:row>
    <x:row r="694" ht="24" customHeight="1">
      <x:c r="A694" s="1" t="inlineStr">
        <x:is>
          <x:t xml:space="preserve">RESULT</x:t>
        </x:is>
      </x:c>
      <x:c r="B694" s="1" t="inlineStr">
        <x:is>
          <x:t xml:space="preserve">Round1</x:t>
        </x:is>
      </x:c>
      <x:c r="C694" s="1" t="inlineStr">
        <x:is>
          <x:t xml:space="preserve">Math_12</x:t>
        </x:is>
      </x:c>
      <x:c r="D694" s="1" t="inlineStr">
        <x:is>
          <x:t xml:space="preserve">INCONCLUSIVE</x:t>
        </x:is>
      </x:c>
      <x:c r="E694" s="5">
        <x:v>0.9582999999999999</x:v>
      </x:c>
      <x:c r="F694" s="4">
        <x:v>0</x:v>
      </x:c>
      <x:c r="G694" s="4">
        <x:v>4462</x:v>
      </x:c>
      <x:c r="H694" s="6">
        <x:v>57.92</x:v>
      </x:c>
      <x:c r="I694" s="16">
        <x:v>1</x:v>
      </x:c>
      <x:c r="J694">
        <x:v>48</x:v>
      </x:c>
      <x:c r="K694" s="4">
        <x:v>46</x:v>
      </x:c>
      <x:c r="L694" s="4">
        <x:v>14</x:v>
      </x:c>
      <x:c r="M694" s="4">
        <x:v>12</x:v>
      </x:c>
      <x:c r="N694" s="5">
        <x:v>0.8571</x:v>
      </x:c>
    </x:row>
    <x:row r="695" ht="24" customHeight="1">
      <x:c r="A695" s="1" t="inlineStr">
        <x:is>
          <x:t xml:space="preserve">RESULT</x:t>
        </x:is>
      </x:c>
      <x:c r="B695" s="1" t="inlineStr">
        <x:is>
          <x:t xml:space="preserve">Round1</x:t>
        </x:is>
      </x:c>
      <x:c r="C695" s="1" t="inlineStr">
        <x:is>
          <x:t xml:space="preserve">Math_13</x:t>
        </x:is>
      </x:c>
      <x:c r="D695" s="1" t="inlineStr">
        <x:is>
          <x:t xml:space="preserve">NOT_AVAILABLE</x:t>
        </x:is>
      </x:c>
      <x:c r="E695" s="5"/>
      <x:c r="F695" s="4">
        <x:v>0</x:v>
      </x:c>
      <x:c r="G695" s="4">
        <x:v>9216</x:v>
      </x:c>
      <x:c r="H695" s="6">
        <x:v>82.13</x:v>
      </x:c>
      <x:c r="I695" s="16">
        <x:v>1</x:v>
      </x:c>
      <x:c r="J695"/>
      <x:c r="K695" s="4"/>
      <x:c r="L695" s="4"/>
      <x:c r="M695" s="4"/>
      <x:c r="N695" s="5"/>
    </x:row>
    <x:row r="696" ht="24" customHeight="1">
      <x:c r="A696" s="1" t="inlineStr">
        <x:is>
          <x:t xml:space="preserve">RESULT</x:t>
        </x:is>
      </x:c>
      <x:c r="B696" s="1" t="inlineStr">
        <x:is>
          <x:t xml:space="preserve">Round1</x:t>
        </x:is>
      </x:c>
      <x:c r="C696" s="1" t="inlineStr">
        <x:is>
          <x:t xml:space="preserve">Math_14</x:t>
        </x:is>
      </x:c>
      <x:c r="D696" s="1" t="inlineStr">
        <x:is>
          <x:t xml:space="preserve">NOT_AVAILABLE</x:t>
        </x:is>
      </x:c>
      <x:c r="E696" s="5"/>
      <x:c r="F696" s="4">
        <x:v>0</x:v>
      </x:c>
      <x:c r="G696" s="4">
        <x:v>10334</x:v>
      </x:c>
      <x:c r="H696" s="6">
        <x:v>157.93</x:v>
      </x:c>
      <x:c r="I696" s="16">
        <x:v>1</x:v>
      </x:c>
      <x:c r="J696"/>
      <x:c r="K696" s="4"/>
      <x:c r="L696" s="4"/>
      <x:c r="M696" s="4"/>
      <x:c r="N696" s="5"/>
    </x:row>
    <x:row r="697" ht="24" customHeight="1">
      <x:c r="A697" s="1" t="inlineStr">
        <x:is>
          <x:t xml:space="preserve">RESULT</x:t>
        </x:is>
      </x:c>
      <x:c r="B697" s="1" t="inlineStr">
        <x:is>
          <x:t xml:space="preserve">Round1</x:t>
        </x:is>
      </x:c>
      <x:c r="C697" s="1" t="inlineStr">
        <x:is>
          <x:t xml:space="preserve">Math_15</x:t>
        </x:is>
      </x:c>
      <x:c r="D697" s="1" t="inlineStr">
        <x:is>
          <x:t xml:space="preserve">INCONCLUSIVE</x:t>
        </x:is>
      </x:c>
      <x:c r="E697" s="5">
        <x:v>0.5317000000000001</x:v>
      </x:c>
      <x:c r="F697" s="4">
        <x:v>0</x:v>
      </x:c>
      <x:c r="G697" s="4">
        <x:v>28739</x:v>
      </x:c>
      <x:c r="H697" s="6">
        <x:v>121.18</x:v>
      </x:c>
      <x:c r="I697" s="16">
        <x:v>1</x:v>
      </x:c>
      <x:c r="J697">
        <x:v>1497</x:v>
      </x:c>
      <x:c r="K697" s="4">
        <x:v>796</x:v>
      </x:c>
      <x:c r="L697" s="4">
        <x:v>798</x:v>
      </x:c>
      <x:c r="M697" s="4">
        <x:v>267</x:v>
      </x:c>
      <x:c r="N697" s="5">
        <x:v>0.3346</x:v>
      </x:c>
    </x:row>
    <x:row r="698" ht="24" customHeight="1">
      <x:c r="A698" s="1" t="inlineStr">
        <x:is>
          <x:t xml:space="preserve">RESULT</x:t>
        </x:is>
      </x:c>
      <x:c r="B698" s="1" t="inlineStr">
        <x:is>
          <x:t xml:space="preserve">Round1</x:t>
        </x:is>
      </x:c>
      <x:c r="C698" s="1" t="inlineStr">
        <x:is>
          <x:t xml:space="preserve">Math_16</x:t>
        </x:is>
      </x:c>
      <x:c r="D698" s="1" t="inlineStr">
        <x:is>
          <x:t xml:space="preserve">INCONCLUSIVE</x:t>
        </x:is>
      </x:c>
      <x:c r="E698" s="5">
        <x:v>0.564</x:v>
      </x:c>
      <x:c r="F698" s="4">
        <x:v>0</x:v>
      </x:c>
      <x:c r="G698" s="4">
        <x:v>29742</x:v>
      </x:c>
      <x:c r="H698" s="6">
        <x:v>148.15</x:v>
      </x:c>
      <x:c r="I698" s="16">
        <x:v>1</x:v>
      </x:c>
      <x:c r="J698">
        <x:v>1484</x:v>
      </x:c>
      <x:c r="K698" s="4">
        <x:v>837</x:v>
      </x:c>
      <x:c r="L698" s="4">
        <x:v>790</x:v>
      </x:c>
      <x:c r="M698" s="4">
        <x:v>288</x:v>
      </x:c>
      <x:c r="N698" s="5">
        <x:v>0.36460000000000004</x:v>
      </x:c>
    </x:row>
    <x:row r="699" ht="24" customHeight="1">
      <x:c r="A699" s="1" t="inlineStr">
        <x:is>
          <x:t xml:space="preserve">RESULT</x:t>
        </x:is>
      </x:c>
      <x:c r="B699" s="1" t="inlineStr">
        <x:is>
          <x:t xml:space="preserve">Round1</x:t>
        </x:is>
      </x:c>
      <x:c r="C699" s="1" t="inlineStr">
        <x:is>
          <x:t xml:space="preserve">Math_17</x:t>
        </x:is>
      </x:c>
      <x:c r="D699" s="1" t="inlineStr">
        <x:is>
          <x:t xml:space="preserve">NOT_AVAILABLE</x:t>
        </x:is>
      </x:c>
      <x:c r="E699" s="5"/>
      <x:c r="F699" s="4">
        <x:v>0</x:v>
      </x:c>
      <x:c r="G699" s="4">
        <x:v>16498</x:v>
      </x:c>
      <x:c r="H699" s="6">
        <x:v>64.24</x:v>
      </x:c>
      <x:c r="I699" s="16">
        <x:v>1</x:v>
      </x:c>
      <x:c r="J699"/>
      <x:c r="K699" s="4"/>
      <x:c r="L699" s="4"/>
      <x:c r="M699" s="4"/>
      <x:c r="N699" s="5"/>
    </x:row>
    <x:row r="700" ht="24" customHeight="1">
      <x:c r="A700" s="1" t="inlineStr">
        <x:is>
          <x:t xml:space="preserve">RESULT</x:t>
        </x:is>
      </x:c>
      <x:c r="B700" s="1" t="inlineStr">
        <x:is>
          <x:t xml:space="preserve">Round1</x:t>
        </x:is>
      </x:c>
      <x:c r="C700" s="1" t="inlineStr">
        <x:is>
          <x:t xml:space="preserve">Math_18</x:t>
        </x:is>
      </x:c>
      <x:c r="D700" s="1" t="inlineStr">
        <x:is>
          <x:t xml:space="preserve">NOT_AVAILABLE</x:t>
        </x:is>
      </x:c>
      <x:c r="E700" s="5"/>
      <x:c r="F700" s="4">
        <x:v>0</x:v>
      </x:c>
      <x:c r="G700" s="4">
        <x:v>12388</x:v>
      </x:c>
      <x:c r="H700" s="6">
        <x:v>86.38</x:v>
      </x:c>
      <x:c r="I700" s="16">
        <x:v>1</x:v>
      </x:c>
      <x:c r="J700"/>
      <x:c r="K700" s="4"/>
      <x:c r="L700" s="4"/>
      <x:c r="M700" s="4"/>
      <x:c r="N700" s="5"/>
    </x:row>
    <x:row r="701" ht="24" customHeight="1">
      <x:c r="A701" s="1" t="inlineStr">
        <x:is>
          <x:t xml:space="preserve">RESULT</x:t>
        </x:is>
      </x:c>
      <x:c r="B701" s="1" t="inlineStr">
        <x:is>
          <x:t xml:space="preserve">Round1</x:t>
        </x:is>
      </x:c>
      <x:c r="C701" s="1" t="inlineStr">
        <x:is>
          <x:t xml:space="preserve">Math_19</x:t>
        </x:is>
      </x:c>
      <x:c r="D701" s="1" t="inlineStr">
        <x:is>
          <x:t xml:space="preserve">NOT_AVAILABLE</x:t>
        </x:is>
      </x:c>
      <x:c r="E701" s="5"/>
      <x:c r="F701" s="4">
        <x:v>0</x:v>
      </x:c>
      <x:c r="G701" s="4">
        <x:v>20760</x:v>
      </x:c>
      <x:c r="H701" s="6">
        <x:v>145.03</x:v>
      </x:c>
      <x:c r="I701" s="16">
        <x:v>1</x:v>
      </x:c>
      <x:c r="J701"/>
      <x:c r="K701" s="4"/>
      <x:c r="L701" s="4"/>
      <x:c r="M701" s="4"/>
      <x:c r="N701" s="5"/>
    </x:row>
    <x:row r="702" ht="24" customHeight="1">
      <x:c r="A702" s="1" t="inlineStr">
        <x:is>
          <x:t xml:space="preserve">RESULT</x:t>
        </x:is>
      </x:c>
      <x:c r="B702" s="1" t="inlineStr">
        <x:is>
          <x:t xml:space="preserve">Round1</x:t>
        </x:is>
      </x:c>
      <x:c r="C702" s="1" t="inlineStr">
        <x:is>
          <x:t xml:space="preserve">Math_2</x:t>
        </x:is>
      </x:c>
      <x:c r="D702" s="1" t="inlineStr">
        <x:is>
          <x:t xml:space="preserve">INCONCLUSIVE</x:t>
        </x:is>
      </x:c>
      <x:c r="E702" s="5">
        <x:v>0.9865</x:v>
      </x:c>
      <x:c r="F702" s="4">
        <x:v>0</x:v>
      </x:c>
      <x:c r="G702" s="4">
        <x:v>6591</x:v>
      </x:c>
      <x:c r="H702" s="6">
        <x:v>74.63</x:v>
      </x:c>
      <x:c r="I702" s="16">
        <x:v>1</x:v>
      </x:c>
      <x:c r="J702">
        <x:v>74</x:v>
      </x:c>
      <x:c r="K702" s="4">
        <x:v>73</x:v>
      </x:c>
      <x:c r="L702" s="4">
        <x:v>26</x:v>
      </x:c>
      <x:c r="M702" s="4">
        <x:v>23</x:v>
      </x:c>
      <x:c r="N702" s="5">
        <x:v>0.8845999999999999</x:v>
      </x:c>
    </x:row>
    <x:row r="703" ht="24" customHeight="1">
      <x:c r="A703" s="1" t="inlineStr">
        <x:is>
          <x:t xml:space="preserve">RESULT</x:t>
        </x:is>
      </x:c>
      <x:c r="B703" s="1" t="inlineStr">
        <x:is>
          <x:t xml:space="preserve">Round1</x:t>
        </x:is>
      </x:c>
      <x:c r="C703" s="1" t="inlineStr">
        <x:is>
          <x:t xml:space="preserve">Math_20</x:t>
        </x:is>
      </x:c>
      <x:c r="D703" s="1" t="inlineStr">
        <x:is>
          <x:t xml:space="preserve">NOT_AVAILABLE</x:t>
        </x:is>
      </x:c>
      <x:c r="E703" s="5"/>
      <x:c r="F703" s="4">
        <x:v>0</x:v>
      </x:c>
      <x:c r="G703" s="4">
        <x:v>12380</x:v>
      </x:c>
      <x:c r="H703" s="6">
        <x:v>87.44</x:v>
      </x:c>
      <x:c r="I703" s="16">
        <x:v>1</x:v>
      </x:c>
      <x:c r="J703"/>
      <x:c r="K703" s="4"/>
      <x:c r="L703" s="4"/>
      <x:c r="M703" s="4"/>
      <x:c r="N703" s="5"/>
    </x:row>
    <x:row r="704" ht="24" customHeight="1">
      <x:c r="A704" s="1" t="inlineStr">
        <x:is>
          <x:t xml:space="preserve">RESULT</x:t>
        </x:is>
      </x:c>
      <x:c r="B704" s="1" t="inlineStr">
        <x:is>
          <x:t xml:space="preserve">Round1</x:t>
        </x:is>
      </x:c>
      <x:c r="C704" s="1" t="inlineStr">
        <x:is>
          <x:t xml:space="preserve">Math_21</x:t>
        </x:is>
      </x:c>
      <x:c r="D704" s="1" t="inlineStr">
        <x:is>
          <x:t xml:space="preserve">INCONCLUSIVE</x:t>
        </x:is>
      </x:c>
      <x:c r="E704" s="5">
        <x:v>1.0</x:v>
      </x:c>
      <x:c r="F704" s="4">
        <x:v>0</x:v>
      </x:c>
      <x:c r="G704" s="4">
        <x:v>4439</x:v>
      </x:c>
      <x:c r="H704" s="6">
        <x:v>53.66</x:v>
      </x:c>
      <x:c r="I704" s="16">
        <x:v>1</x:v>
      </x:c>
      <x:c r="J704">
        <x:v>52</x:v>
      </x:c>
      <x:c r="K704" s="4">
        <x:v>52</x:v>
      </x:c>
      <x:c r="L704" s="4">
        <x:v>28</x:v>
      </x:c>
      <x:c r="M704" s="4">
        <x:v>28</x:v>
      </x:c>
      <x:c r="N704" s="5">
        <x:v>1.0</x:v>
      </x:c>
    </x:row>
    <x:row r="705" ht="24" customHeight="1">
      <x:c r="A705" s="1" t="inlineStr">
        <x:is>
          <x:t xml:space="preserve">RESULT</x:t>
        </x:is>
      </x:c>
      <x:c r="B705" s="1" t="inlineStr">
        <x:is>
          <x:t xml:space="preserve">Round1</x:t>
        </x:is>
      </x:c>
      <x:c r="C705" s="1" t="inlineStr">
        <x:is>
          <x:t xml:space="preserve">Math_22</x:t>
        </x:is>
      </x:c>
      <x:c r="D705" s="1" t="inlineStr">
        <x:is>
          <x:t xml:space="preserve">NOT_AVAILABLE</x:t>
        </x:is>
      </x:c>
      <x:c r="E705" s="5"/>
      <x:c r="F705" s="4">
        <x:v>0</x:v>
      </x:c>
      <x:c r="G705" s="4">
        <x:v>9367</x:v>
      </x:c>
      <x:c r="H705" s="6">
        <x:v>102.45</x:v>
      </x:c>
      <x:c r="I705" s="16">
        <x:v>1</x:v>
      </x:c>
      <x:c r="J705"/>
      <x:c r="K705" s="4"/>
      <x:c r="L705" s="4"/>
      <x:c r="M705" s="4"/>
      <x:c r="N705" s="5"/>
    </x:row>
    <x:row r="706" ht="24" customHeight="1">
      <x:c r="A706" s="1" t="inlineStr">
        <x:is>
          <x:t xml:space="preserve">RESULT</x:t>
        </x:is>
      </x:c>
      <x:c r="B706" s="1" t="inlineStr">
        <x:is>
          <x:t xml:space="preserve">Round1</x:t>
        </x:is>
      </x:c>
      <x:c r="C706" s="1" t="inlineStr">
        <x:is>
          <x:t xml:space="preserve">Math_23</x:t>
        </x:is>
      </x:c>
      <x:c r="D706" s="1" t="inlineStr">
        <x:is>
          <x:t xml:space="preserve">NOT_AVAILABLE</x:t>
        </x:is>
      </x:c>
      <x:c r="E706" s="5"/>
      <x:c r="F706" s="4">
        <x:v>0</x:v>
      </x:c>
      <x:c r="G706" s="4">
        <x:v>8317</x:v>
      </x:c>
      <x:c r="H706" s="6">
        <x:v>147.24</x:v>
      </x:c>
      <x:c r="I706" s="16">
        <x:v>1</x:v>
      </x:c>
      <x:c r="J706"/>
      <x:c r="K706" s="4"/>
      <x:c r="L706" s="4"/>
      <x:c r="M706" s="4"/>
      <x:c r="N706" s="5"/>
    </x:row>
    <x:row r="707" ht="24" customHeight="1">
      <x:c r="A707" s="1" t="inlineStr">
        <x:is>
          <x:t xml:space="preserve">RESULT</x:t>
        </x:is>
      </x:c>
      <x:c r="B707" s="1" t="inlineStr">
        <x:is>
          <x:t xml:space="preserve">Round1</x:t>
        </x:is>
      </x:c>
      <x:c r="C707" s="1" t="inlineStr">
        <x:is>
          <x:t xml:space="preserve">Math_24</x:t>
        </x:is>
      </x:c>
      <x:c r="D707" s="1" t="inlineStr">
        <x:is>
          <x:t xml:space="preserve">NOT_AVAILABLE</x:t>
        </x:is>
      </x:c>
      <x:c r="E707" s="5"/>
      <x:c r="F707" s="4">
        <x:v>0</x:v>
      </x:c>
      <x:c r="G707" s="4">
        <x:v>5957</x:v>
      </x:c>
      <x:c r="H707" s="6">
        <x:v>66.58</x:v>
      </x:c>
      <x:c r="I707" s="16">
        <x:v>1</x:v>
      </x:c>
      <x:c r="J707"/>
      <x:c r="K707" s="4"/>
      <x:c r="L707" s="4"/>
      <x:c r="M707" s="4"/>
      <x:c r="N707" s="5"/>
    </x:row>
    <x:row r="708" ht="24" customHeight="1">
      <x:c r="A708" s="1" t="inlineStr">
        <x:is>
          <x:t xml:space="preserve">RESULT</x:t>
        </x:is>
      </x:c>
      <x:c r="B708" s="1" t="inlineStr">
        <x:is>
          <x:t xml:space="preserve">Round1</x:t>
        </x:is>
      </x:c>
      <x:c r="C708" s="1" t="inlineStr">
        <x:is>
          <x:t xml:space="preserve">Math_25</x:t>
        </x:is>
      </x:c>
      <x:c r="D708" s="1" t="inlineStr">
        <x:is>
          <x:t xml:space="preserve">INCONCLUSIVE</x:t>
        </x:is>
      </x:c>
      <x:c r="E708" s="5">
        <x:v>0.9468000000000001</x:v>
      </x:c>
      <x:c r="F708" s="4">
        <x:v>0</x:v>
      </x:c>
      <x:c r="G708" s="4">
        <x:v>7346</x:v>
      </x:c>
      <x:c r="H708" s="6">
        <x:v>56.37</x:v>
      </x:c>
      <x:c r="I708" s="16">
        <x:v>1</x:v>
      </x:c>
      <x:c r="J708">
        <x:v>94</x:v>
      </x:c>
      <x:c r="K708" s="4">
        <x:v>89</x:v>
      </x:c>
      <x:c r="L708" s="4">
        <x:v>28</x:v>
      </x:c>
      <x:c r="M708" s="4">
        <x:v>26</x:v>
      </x:c>
      <x:c r="N708" s="5">
        <x:v>0.9286</x:v>
      </x:c>
    </x:row>
    <x:row r="709" ht="24" customHeight="1">
      <x:c r="A709" s="1" t="inlineStr">
        <x:is>
          <x:t xml:space="preserve">RESULT</x:t>
        </x:is>
      </x:c>
      <x:c r="B709" s="1" t="inlineStr">
        <x:is>
          <x:t xml:space="preserve">Round1</x:t>
        </x:is>
      </x:c>
      <x:c r="C709" s="1" t="inlineStr">
        <x:is>
          <x:t xml:space="preserve">Math_26</x:t>
        </x:is>
      </x:c>
      <x:c r="D709" s="1" t="inlineStr">
        <x:is>
          <x:t xml:space="preserve">NOT_AVAILABLE</x:t>
        </x:is>
      </x:c>
      <x:c r="E709" s="5"/>
      <x:c r="F709" s="4">
        <x:v>0</x:v>
      </x:c>
      <x:c r="G709" s="4">
        <x:v>9303</x:v>
      </x:c>
      <x:c r="H709" s="6">
        <x:v>76.43</x:v>
      </x:c>
      <x:c r="I709" s="16">
        <x:v>1</x:v>
      </x:c>
      <x:c r="J709"/>
      <x:c r="K709" s="4"/>
      <x:c r="L709" s="4"/>
      <x:c r="M709" s="4"/>
      <x:c r="N709" s="5"/>
    </x:row>
    <x:row r="710" ht="24" customHeight="1">
      <x:c r="A710" s="1" t="inlineStr">
        <x:is>
          <x:t xml:space="preserve">RESULT</x:t>
        </x:is>
      </x:c>
      <x:c r="B710" s="1" t="inlineStr">
        <x:is>
          <x:t xml:space="preserve">Round1</x:t>
        </x:is>
      </x:c>
      <x:c r="C710" s="1" t="inlineStr">
        <x:is>
          <x:t xml:space="preserve">Math_27</x:t>
        </x:is>
      </x:c>
      <x:c r="D710" s="1" t="inlineStr">
        <x:is>
          <x:t xml:space="preserve">INCONCLUSIVE</x:t>
        </x:is>
      </x:c>
      <x:c r="E710" s="5">
        <x:v>0.153</x:v>
      </x:c>
      <x:c r="F710" s="4">
        <x:v>0</x:v>
      </x:c>
      <x:c r="G710" s="4">
        <x:v>10919</x:v>
      </x:c>
      <x:c r="H710" s="6">
        <x:v>135.28</x:v>
      </x:c>
      <x:c r="I710" s="16">
        <x:v>1</x:v>
      </x:c>
      <x:c r="J710">
        <x:v>183</x:v>
      </x:c>
      <x:c r="K710" s="4">
        <x:v>28</x:v>
      </x:c>
      <x:c r="L710" s="4">
        <x:v>94</x:v>
      </x:c>
      <x:c r="M710" s="4">
        <x:v>8</x:v>
      </x:c>
      <x:c r="N710" s="5">
        <x:v>0.0851</x:v>
      </x:c>
    </x:row>
    <x:row r="711" ht="24" customHeight="1">
      <x:c r="A711" s="1" t="inlineStr">
        <x:is>
          <x:t xml:space="preserve">RESULT</x:t>
        </x:is>
      </x:c>
      <x:c r="B711" s="1" t="inlineStr">
        <x:is>
          <x:t xml:space="preserve">Round1</x:t>
        </x:is>
      </x:c>
      <x:c r="C711" s="1" t="inlineStr">
        <x:is>
          <x:t xml:space="preserve">Math_28</x:t>
        </x:is>
      </x:c>
      <x:c r="D711" s="1" t="inlineStr">
        <x:is>
          <x:t xml:space="preserve">NOT_AVAILABLE</x:t>
        </x:is>
      </x:c>
      <x:c r="E711" s="5"/>
      <x:c r="F711" s="4">
        <x:v>0</x:v>
      </x:c>
      <x:c r="G711" s="4">
        <x:v>5395</x:v>
      </x:c>
      <x:c r="H711" s="6">
        <x:v>67.83</x:v>
      </x:c>
      <x:c r="I711" s="16">
        <x:v>1</x:v>
      </x:c>
      <x:c r="J711"/>
      <x:c r="K711" s="4"/>
      <x:c r="L711" s="4"/>
      <x:c r="M711" s="4"/>
      <x:c r="N711" s="5"/>
    </x:row>
    <x:row r="712" ht="24" customHeight="1">
      <x:c r="A712" s="1" t="inlineStr">
        <x:is>
          <x:t xml:space="preserve">RESULT</x:t>
        </x:is>
      </x:c>
      <x:c r="B712" s="1" t="inlineStr">
        <x:is>
          <x:t xml:space="preserve">Round1</x:t>
        </x:is>
      </x:c>
      <x:c r="C712" s="1" t="inlineStr">
        <x:is>
          <x:t xml:space="preserve">Math_29</x:t>
        </x:is>
      </x:c>
      <x:c r="D712" s="1" t="inlineStr">
        <x:is>
          <x:t xml:space="preserve">INCONCLUSIVE</x:t>
        </x:is>
      </x:c>
      <x:c r="E712" s="5">
        <x:v>0.8349</x:v>
      </x:c>
      <x:c r="F712" s="4">
        <x:v>0</x:v>
      </x:c>
      <x:c r="G712" s="4">
        <x:v>9946</x:v>
      </x:c>
      <x:c r="H712" s="6">
        <x:v>144.79</x:v>
      </x:c>
      <x:c r="I712" s="16">
        <x:v>1</x:v>
      </x:c>
      <x:c r="J712">
        <x:v>321</x:v>
      </x:c>
      <x:c r="K712" s="4">
        <x:v>268</x:v>
      </x:c>
      <x:c r="L712" s="4">
        <x:v>134</x:v>
      </x:c>
      <x:c r="M712" s="4">
        <x:v>101</x:v>
      </x:c>
      <x:c r="N712" s="5">
        <x:v>0.7537</x:v>
      </x:c>
    </x:row>
    <x:row r="713" ht="24" customHeight="1">
      <x:c r="A713" s="1" t="inlineStr">
        <x:is>
          <x:t xml:space="preserve">RESULT</x:t>
        </x:is>
      </x:c>
      <x:c r="B713" s="1" t="inlineStr">
        <x:is>
          <x:t xml:space="preserve">Round1</x:t>
        </x:is>
      </x:c>
      <x:c r="C713" s="1" t="inlineStr">
        <x:is>
          <x:t xml:space="preserve">Math_3</x:t>
        </x:is>
      </x:c>
      <x:c r="D713" s="1" t="inlineStr">
        <x:is>
          <x:t xml:space="preserve">INCONCLUSIVE</x:t>
        </x:is>
      </x:c>
      <x:c r="E713" s="5">
        <x:v>0.6729999999999999</x:v>
      </x:c>
      <x:c r="F713" s="4">
        <x:v>0</x:v>
      </x:c>
      <x:c r="G713" s="4">
        <x:v>13660</x:v>
      </x:c>
      <x:c r="H713" s="6">
        <x:v>178.08</x:v>
      </x:c>
      <x:c r="I713" s="16">
        <x:v>1</x:v>
      </x:c>
      <x:c r="J713">
        <x:v>419</x:v>
      </x:c>
      <x:c r="K713" s="4">
        <x:v>282</x:v>
      </x:c>
      <x:c r="L713" s="4">
        <x:v>234</x:v>
      </x:c>
      <x:c r="M713" s="4">
        <x:v>190</x:v>
      </x:c>
      <x:c r="N713" s="5">
        <x:v>0.812</x:v>
      </x:c>
    </x:row>
    <x:row r="714" ht="24" customHeight="1">
      <x:c r="A714" s="1" t="inlineStr">
        <x:is>
          <x:t xml:space="preserve">RESULT</x:t>
        </x:is>
      </x:c>
      <x:c r="B714" s="1" t="inlineStr">
        <x:is>
          <x:t xml:space="preserve">Round1</x:t>
        </x:is>
      </x:c>
      <x:c r="C714" s="1" t="inlineStr">
        <x:is>
          <x:t xml:space="preserve">Math_30</x:t>
        </x:is>
      </x:c>
      <x:c r="D714" s="1" t="inlineStr">
        <x:is>
          <x:t xml:space="preserve">INCONCLUSIVE</x:t>
        </x:is>
      </x:c>
      <x:c r="E714" s="5">
        <x:v>1.0</x:v>
      </x:c>
      <x:c r="F714" s="4">
        <x:v>0</x:v>
      </x:c>
      <x:c r="G714" s="4">
        <x:v>5623</x:v>
      </x:c>
      <x:c r="H714" s="6">
        <x:v>85.82</x:v>
      </x:c>
      <x:c r="I714" s="16">
        <x:v>1</x:v>
      </x:c>
      <x:c r="J714">
        <x:v>34</x:v>
      </x:c>
      <x:c r="K714" s="4">
        <x:v>34</x:v>
      </x:c>
      <x:c r="L714" s="4">
        <x:v>10</x:v>
      </x:c>
      <x:c r="M714" s="4">
        <x:v>10</x:v>
      </x:c>
      <x:c r="N714" s="5">
        <x:v>1.0</x:v>
      </x:c>
    </x:row>
    <x:row r="715" ht="24" customHeight="1">
      <x:c r="A715" s="1" t="inlineStr">
        <x:is>
          <x:t xml:space="preserve">RESULT</x:t>
        </x:is>
      </x:c>
      <x:c r="B715" s="1" t="inlineStr">
        <x:is>
          <x:t xml:space="preserve">Round1</x:t>
        </x:is>
      </x:c>
      <x:c r="C715" s="1" t="inlineStr">
        <x:is>
          <x:t xml:space="preserve">Math_31</x:t>
        </x:is>
      </x:c>
      <x:c r="D715" s="1" t="inlineStr">
        <x:is>
          <x:t xml:space="preserve">INCONCLUSIVE</x:t>
        </x:is>
      </x:c>
      <x:c r="E715" s="5">
        <x:v>0.9322</x:v>
      </x:c>
      <x:c r="F715" s="4">
        <x:v>0</x:v>
      </x:c>
      <x:c r="G715" s="4">
        <x:v>4948</x:v>
      </x:c>
      <x:c r="H715" s="6">
        <x:v>63.3</x:v>
      </x:c>
      <x:c r="I715" s="16">
        <x:v>1</x:v>
      </x:c>
      <x:c r="J715">
        <x:v>59</x:v>
      </x:c>
      <x:c r="K715" s="4">
        <x:v>55</x:v>
      </x:c>
      <x:c r="L715" s="4">
        <x:v>30</x:v>
      </x:c>
      <x:c r="M715" s="4">
        <x:v>22</x:v>
      </x:c>
      <x:c r="N715" s="5">
        <x:v>0.7333</x:v>
      </x:c>
    </x:row>
    <x:row r="716" ht="24" customHeight="1">
      <x:c r="A716" s="1" t="inlineStr">
        <x:is>
          <x:t xml:space="preserve">RESULT</x:t>
        </x:is>
      </x:c>
      <x:c r="B716" s="1" t="inlineStr">
        <x:is>
          <x:t xml:space="preserve">Round1</x:t>
        </x:is>
      </x:c>
      <x:c r="C716" s="1" t="inlineStr">
        <x:is>
          <x:t xml:space="preserve">Math_32</x:t>
        </x:is>
      </x:c>
      <x:c r="D716" s="1" t="inlineStr">
        <x:is>
          <x:t xml:space="preserve">NOT_AVAILABLE</x:t>
        </x:is>
      </x:c>
      <x:c r="E716" s="5"/>
      <x:c r="F716" s="4">
        <x:v>0</x:v>
      </x:c>
      <x:c r="G716" s="4">
        <x:v>7899</x:v>
      </x:c>
      <x:c r="H716" s="6">
        <x:v>75.66</x:v>
      </x:c>
      <x:c r="I716" s="16">
        <x:v>1</x:v>
      </x:c>
      <x:c r="J716"/>
      <x:c r="K716" s="4"/>
      <x:c r="L716" s="4"/>
      <x:c r="M716" s="4"/>
      <x:c r="N716" s="5"/>
    </x:row>
    <x:row r="717" ht="24" customHeight="1">
      <x:c r="A717" s="1" t="inlineStr">
        <x:is>
          <x:t xml:space="preserve">RESULT</x:t>
        </x:is>
      </x:c>
      <x:c r="B717" s="1" t="inlineStr">
        <x:is>
          <x:t xml:space="preserve">Round1</x:t>
        </x:is>
      </x:c>
      <x:c r="C717" s="1" t="inlineStr">
        <x:is>
          <x:t xml:space="preserve">Math_33</x:t>
        </x:is>
      </x:c>
      <x:c r="D717" s="1" t="inlineStr">
        <x:is>
          <x:t xml:space="preserve">NOT_AVAILABLE</x:t>
        </x:is>
      </x:c>
      <x:c r="E717" s="5"/>
      <x:c r="F717" s="4">
        <x:v>0</x:v>
      </x:c>
      <x:c r="G717" s="4">
        <x:v>9780</x:v>
      </x:c>
      <x:c r="H717" s="6">
        <x:v>155.19</x:v>
      </x:c>
      <x:c r="I717" s="16">
        <x:v>1</x:v>
      </x:c>
      <x:c r="J717"/>
      <x:c r="K717" s="4"/>
      <x:c r="L717" s="4"/>
      <x:c r="M717" s="4"/>
      <x:c r="N717" s="5"/>
    </x:row>
    <x:row r="718" ht="24" customHeight="1">
      <x:c r="A718" s="1" t="inlineStr">
        <x:is>
          <x:t xml:space="preserve">RESULT</x:t>
        </x:is>
      </x:c>
      <x:c r="B718" s="1" t="inlineStr">
        <x:is>
          <x:t xml:space="preserve">Round1</x:t>
        </x:is>
      </x:c>
      <x:c r="C718" s="1" t="inlineStr">
        <x:is>
          <x:t xml:space="preserve">Math_34</x:t>
        </x:is>
      </x:c>
      <x:c r="D718" s="1" t="inlineStr">
        <x:is>
          <x:t xml:space="preserve">NOT_AVAILABLE</x:t>
        </x:is>
      </x:c>
      <x:c r="E718" s="5"/>
      <x:c r="F718" s="4">
        <x:v>0</x:v>
      </x:c>
      <x:c r="G718" s="4">
        <x:v>5729</x:v>
      </x:c>
      <x:c r="H718" s="6">
        <x:v>96.32</x:v>
      </x:c>
      <x:c r="I718" s="16">
        <x:v>1</x:v>
      </x:c>
      <x:c r="J718"/>
      <x:c r="K718" s="4"/>
      <x:c r="L718" s="4"/>
      <x:c r="M718" s="4"/>
      <x:c r="N718" s="5"/>
    </x:row>
    <x:row r="719" ht="24" customHeight="1">
      <x:c r="A719" s="1" t="inlineStr">
        <x:is>
          <x:t xml:space="preserve">RESULT</x:t>
        </x:is>
      </x:c>
      <x:c r="B719" s="1" t="inlineStr">
        <x:is>
          <x:t xml:space="preserve">Round1</x:t>
        </x:is>
      </x:c>
      <x:c r="C719" s="1" t="inlineStr">
        <x:is>
          <x:t xml:space="preserve">Math_35</x:t>
        </x:is>
      </x:c>
      <x:c r="D719" s="1" t="inlineStr">
        <x:is>
          <x:t xml:space="preserve">NOT_AVAILABLE</x:t>
        </x:is>
      </x:c>
      <x:c r="E719" s="5"/>
      <x:c r="F719" s="4">
        <x:v>0</x:v>
      </x:c>
      <x:c r="G719" s="4">
        <x:v>3668</x:v>
      </x:c>
      <x:c r="H719" s="6">
        <x:v>49.61</x:v>
      </x:c>
      <x:c r="I719" s="16">
        <x:v>1</x:v>
      </x:c>
      <x:c r="J719"/>
      <x:c r="K719" s="4"/>
      <x:c r="L719" s="4"/>
      <x:c r="M719" s="4"/>
      <x:c r="N719" s="5"/>
    </x:row>
    <x:row r="720" ht="24" customHeight="1">
      <x:c r="A720" s="1" t="inlineStr">
        <x:is>
          <x:t xml:space="preserve">RESULT</x:t>
        </x:is>
      </x:c>
      <x:c r="B720" s="1" t="inlineStr">
        <x:is>
          <x:t xml:space="preserve">Round1</x:t>
        </x:is>
      </x:c>
      <x:c r="C720" s="1" t="inlineStr">
        <x:is>
          <x:t xml:space="preserve">Math_36</x:t>
        </x:is>
      </x:c>
      <x:c r="D720" s="1" t="inlineStr">
        <x:is>
          <x:t xml:space="preserve">NOT_AVAILABLE</x:t>
        </x:is>
      </x:c>
      <x:c r="E720" s="5"/>
      <x:c r="F720" s="4">
        <x:v>0</x:v>
      </x:c>
      <x:c r="G720" s="4">
        <x:v>11649</x:v>
      </x:c>
      <x:c r="H720" s="6">
        <x:v>236.05</x:v>
      </x:c>
      <x:c r="I720" s="16">
        <x:v>1</x:v>
      </x:c>
      <x:c r="J720"/>
      <x:c r="K720" s="4"/>
      <x:c r="L720" s="4"/>
      <x:c r="M720" s="4"/>
      <x:c r="N720" s="5"/>
    </x:row>
    <x:row r="721" ht="24" customHeight="1">
      <x:c r="A721" s="1" t="inlineStr">
        <x:is>
          <x:t xml:space="preserve">RESULT</x:t>
        </x:is>
      </x:c>
      <x:c r="B721" s="1" t="inlineStr">
        <x:is>
          <x:t xml:space="preserve">Round1</x:t>
        </x:is>
      </x:c>
      <x:c r="C721" s="1" t="inlineStr">
        <x:is>
          <x:t xml:space="preserve">Math_37</x:t>
        </x:is>
      </x:c>
      <x:c r="D721" s="1" t="inlineStr">
        <x:is>
          <x:t xml:space="preserve">NOT_AVAILABLE</x:t>
        </x:is>
      </x:c>
      <x:c r="E721" s="5"/>
      <x:c r="F721" s="4">
        <x:v>0</x:v>
      </x:c>
      <x:c r="G721" s="4">
        <x:v>7510</x:v>
      </x:c>
      <x:c r="H721" s="6">
        <x:v>102.9</x:v>
      </x:c>
      <x:c r="I721" s="16">
        <x:v>1</x:v>
      </x:c>
      <x:c r="J721"/>
      <x:c r="K721" s="4"/>
      <x:c r="L721" s="4"/>
      <x:c r="M721" s="4"/>
      <x:c r="N721" s="5"/>
    </x:row>
    <x:row r="722" ht="24" customHeight="1">
      <x:c r="A722" s="1" t="inlineStr">
        <x:is>
          <x:t xml:space="preserve">RESULT</x:t>
        </x:is>
      </x:c>
      <x:c r="B722" s="1" t="inlineStr">
        <x:is>
          <x:t xml:space="preserve">Round1</x:t>
        </x:is>
      </x:c>
      <x:c r="C722" s="1" t="inlineStr">
        <x:is>
          <x:t xml:space="preserve">Math_38</x:t>
        </x:is>
      </x:c>
      <x:c r="D722" s="1" t="inlineStr">
        <x:is>
          <x:t xml:space="preserve">NOT_AVAILABLE</x:t>
        </x:is>
      </x:c>
      <x:c r="E722" s="5"/>
      <x:c r="F722" s="4">
        <x:v>0</x:v>
      </x:c>
      <x:c r="G722" s="4">
        <x:v>22203</x:v>
      </x:c>
      <x:c r="H722" s="6">
        <x:v>106.47</x:v>
      </x:c>
      <x:c r="I722" s="16">
        <x:v>1</x:v>
      </x:c>
      <x:c r="J722"/>
      <x:c r="K722" s="4"/>
      <x:c r="L722" s="4"/>
      <x:c r="M722" s="4"/>
      <x:c r="N722" s="5"/>
    </x:row>
    <x:row r="723" ht="24" customHeight="1">
      <x:c r="A723" s="1" t="inlineStr">
        <x:is>
          <x:t xml:space="preserve">RESULT</x:t>
        </x:is>
      </x:c>
      <x:c r="B723" s="1" t="inlineStr">
        <x:is>
          <x:t xml:space="preserve">Round1</x:t>
        </x:is>
      </x:c>
      <x:c r="C723" s="1" t="inlineStr">
        <x:is>
          <x:t xml:space="preserve">Math_39</x:t>
        </x:is>
      </x:c>
      <x:c r="D723" s="1" t="inlineStr">
        <x:is>
          <x:t xml:space="preserve">NOT_AVAILABLE</x:t>
        </x:is>
      </x:c>
      <x:c r="E723" s="5"/>
      <x:c r="F723" s="4">
        <x:v>0</x:v>
      </x:c>
      <x:c r="G723" s="4">
        <x:v>6544</x:v>
      </x:c>
      <x:c r="H723" s="6">
        <x:v>69.18</x:v>
      </x:c>
      <x:c r="I723" s="16">
        <x:v>1</x:v>
      </x:c>
      <x:c r="J723"/>
      <x:c r="K723" s="4"/>
      <x:c r="L723" s="4"/>
      <x:c r="M723" s="4"/>
      <x:c r="N723" s="5"/>
    </x:row>
    <x:row r="724" ht="24" customHeight="1">
      <x:c r="A724" s="1" t="inlineStr">
        <x:is>
          <x:t xml:space="preserve">RESULT</x:t>
        </x:is>
      </x:c>
      <x:c r="B724" s="1" t="inlineStr">
        <x:is>
          <x:t xml:space="preserve">Round1</x:t>
        </x:is>
      </x:c>
      <x:c r="C724" s="1" t="inlineStr">
        <x:is>
          <x:t xml:space="preserve">Math_4</x:t>
        </x:is>
      </x:c>
      <x:c r="D724" s="1" t="inlineStr">
        <x:is>
          <x:t xml:space="preserve">NOT_AVAILABLE</x:t>
        </x:is>
      </x:c>
      <x:c r="E724" s="5"/>
      <x:c r="F724" s="4">
        <x:v>0</x:v>
      </x:c>
      <x:c r="G724" s="4">
        <x:v>11216</x:v>
      </x:c>
      <x:c r="H724" s="6">
        <x:v>160.55</x:v>
      </x:c>
      <x:c r="I724" s="16">
        <x:v>1</x:v>
      </x:c>
      <x:c r="J724"/>
      <x:c r="K724" s="4"/>
      <x:c r="L724" s="4"/>
      <x:c r="M724" s="4"/>
      <x:c r="N724" s="5"/>
    </x:row>
    <x:row r="725" ht="24" customHeight="1">
      <x:c r="A725" s="1" t="inlineStr">
        <x:is>
          <x:t xml:space="preserve">RESULT</x:t>
        </x:is>
      </x:c>
      <x:c r="B725" s="1" t="inlineStr">
        <x:is>
          <x:t xml:space="preserve">Round1</x:t>
        </x:is>
      </x:c>
      <x:c r="C725" s="1" t="inlineStr">
        <x:is>
          <x:t xml:space="preserve">Math_40</x:t>
        </x:is>
      </x:c>
      <x:c r="D725" s="1" t="inlineStr">
        <x:is>
          <x:t xml:space="preserve">INCONCLUSIVE</x:t>
        </x:is>
      </x:c>
      <x:c r="E725" s="5">
        <x:v>0.8016</x:v>
      </x:c>
      <x:c r="F725" s="4">
        <x:v>0</x:v>
      </x:c>
      <x:c r="G725" s="4">
        <x:v>6405</x:v>
      </x:c>
      <x:c r="H725" s="6">
        <x:v>59.35</x:v>
      </x:c>
      <x:c r="I725" s="16">
        <x:v>1</x:v>
      </x:c>
      <x:c r="J725">
        <x:v>126</x:v>
      </x:c>
      <x:c r="K725" s="4">
        <x:v>101</x:v>
      </x:c>
      <x:c r="L725" s="4">
        <x:v>66</x:v>
      </x:c>
      <x:c r="M725" s="4">
        <x:v>45</x:v>
      </x:c>
      <x:c r="N725" s="5">
        <x:v>0.6818000000000001</x:v>
      </x:c>
    </x:row>
    <x:row r="726" ht="24" customHeight="1">
      <x:c r="A726" s="1" t="inlineStr">
        <x:is>
          <x:t xml:space="preserve">RESULT</x:t>
        </x:is>
      </x:c>
      <x:c r="B726" s="1" t="inlineStr">
        <x:is>
          <x:t xml:space="preserve">Round1</x:t>
        </x:is>
      </x:c>
      <x:c r="C726" s="1" t="inlineStr">
        <x:is>
          <x:t xml:space="preserve">Math_41</x:t>
        </x:is>
      </x:c>
      <x:c r="D726" s="1" t="inlineStr">
        <x:is>
          <x:t xml:space="preserve">INCONCLUSIVE</x:t>
        </x:is>
      </x:c>
      <x:c r="E726" s="5">
        <x:v>0.9196</x:v>
      </x:c>
      <x:c r="F726" s="4">
        <x:v>0</x:v>
      </x:c>
      <x:c r="G726" s="4">
        <x:v>9672</x:v>
      </x:c>
      <x:c r="H726" s="6">
        <x:v>74.65</x:v>
      </x:c>
      <x:c r="I726" s="16">
        <x:v>1</x:v>
      </x:c>
      <x:c r="J726">
        <x:v>112</x:v>
      </x:c>
      <x:c r="K726" s="4">
        <x:v>103</x:v>
      </x:c>
      <x:c r="L726" s="4">
        <x:v>46</x:v>
      </x:c>
      <x:c r="M726" s="4">
        <x:v>33</x:v>
      </x:c>
      <x:c r="N726" s="5">
        <x:v>0.7173999999999999</x:v>
      </x:c>
    </x:row>
    <x:row r="727" ht="24" customHeight="1">
      <x:c r="A727" s="1" t="inlineStr">
        <x:is>
          <x:t xml:space="preserve">RESULT</x:t>
        </x:is>
      </x:c>
      <x:c r="B727" s="1" t="inlineStr">
        <x:is>
          <x:t xml:space="preserve">Round1</x:t>
        </x:is>
      </x:c>
      <x:c r="C727" s="1" t="inlineStr">
        <x:is>
          <x:t xml:space="preserve">Math_42</x:t>
        </x:is>
      </x:c>
      <x:c r="D727" s="1" t="inlineStr">
        <x:is>
          <x:t xml:space="preserve">INCONCLUSIVE</x:t>
        </x:is>
      </x:c>
      <x:c r="E727" s="5">
        <x:v>0.7143</x:v>
      </x:c>
      <x:c r="F727" s="4">
        <x:v>0</x:v>
      </x:c>
      <x:c r="G727" s="4">
        <x:v>8464</x:v>
      </x:c>
      <x:c r="H727" s="6">
        <x:v>71.25</x:v>
      </x:c>
      <x:c r="I727" s="16">
        <x:v>1</x:v>
      </x:c>
      <x:c r="J727">
        <x:v>182</x:v>
      </x:c>
      <x:c r="K727" s="4">
        <x:v>130</x:v>
      </x:c>
      <x:c r="L727" s="4">
        <x:v>120</x:v>
      </x:c>
      <x:c r="M727" s="4">
        <x:v>68</x:v>
      </x:c>
      <x:c r="N727" s="5">
        <x:v>0.5667</x:v>
      </x:c>
    </x:row>
    <x:row r="728" ht="24" customHeight="1">
      <x:c r="A728" s="1" t="inlineStr">
        <x:is>
          <x:t xml:space="preserve">RESULT</x:t>
        </x:is>
      </x:c>
      <x:c r="B728" s="1" t="inlineStr">
        <x:is>
          <x:t xml:space="preserve">Round1</x:t>
        </x:is>
      </x:c>
      <x:c r="C728" s="1" t="inlineStr">
        <x:is>
          <x:t xml:space="preserve">Math_43</x:t>
        </x:is>
      </x:c>
      <x:c r="D728" s="1" t="inlineStr">
        <x:is>
          <x:t xml:space="preserve">INCONCLUSIVE</x:t>
        </x:is>
      </x:c>
      <x:c r="E728" s="5">
        <x:v>0.8957999999999999</x:v>
      </x:c>
      <x:c r="F728" s="4">
        <x:v>0</x:v>
      </x:c>
      <x:c r="G728" s="4">
        <x:v>6162</x:v>
      </x:c>
      <x:c r="H728" s="6">
        <x:v>69.86</x:v>
      </x:c>
      <x:c r="I728" s="16">
        <x:v>1</x:v>
      </x:c>
      <x:c r="J728">
        <x:v>192</x:v>
      </x:c>
      <x:c r="K728" s="4">
        <x:v>172</x:v>
      </x:c>
      <x:c r="L728" s="4">
        <x:v>58</x:v>
      </x:c>
      <x:c r="M728" s="4">
        <x:v>34</x:v>
      </x:c>
      <x:c r="N728" s="5">
        <x:v>0.5861999999999999</x:v>
      </x:c>
    </x:row>
    <x:row r="729" ht="24" customHeight="1">
      <x:c r="A729" s="1" t="inlineStr">
        <x:is>
          <x:t xml:space="preserve">RESULT</x:t>
        </x:is>
      </x:c>
      <x:c r="B729" s="1" t="inlineStr">
        <x:is>
          <x:t xml:space="preserve">Round1</x:t>
        </x:is>
      </x:c>
      <x:c r="C729" s="1" t="inlineStr">
        <x:is>
          <x:t xml:space="preserve">Math_44</x:t>
        </x:is>
      </x:c>
      <x:c r="D729" s="1" t="inlineStr">
        <x:is>
          <x:t xml:space="preserve">NOT_AVAILABLE</x:t>
        </x:is>
      </x:c>
      <x:c r="E729" s="5"/>
      <x:c r="F729" s="4">
        <x:v>0</x:v>
      </x:c>
      <x:c r="G729" s="4">
        <x:v>6711</x:v>
      </x:c>
      <x:c r="H729" s="6">
        <x:v>69.88</x:v>
      </x:c>
      <x:c r="I729" s="16">
        <x:v>1</x:v>
      </x:c>
      <x:c r="J729"/>
      <x:c r="K729" s="4"/>
      <x:c r="L729" s="4"/>
      <x:c r="M729" s="4"/>
      <x:c r="N729" s="5"/>
    </x:row>
    <x:row r="730" ht="24" customHeight="1">
      <x:c r="A730" s="1" t="inlineStr">
        <x:is>
          <x:t xml:space="preserve">RESULT</x:t>
        </x:is>
      </x:c>
      <x:c r="B730" s="1" t="inlineStr">
        <x:is>
          <x:t xml:space="preserve">Round1</x:t>
        </x:is>
      </x:c>
      <x:c r="C730" s="1" t="inlineStr">
        <x:is>
          <x:t xml:space="preserve">Math_45</x:t>
        </x:is>
      </x:c>
      <x:c r="D730" s="1" t="inlineStr">
        <x:is>
          <x:t xml:space="preserve">INCONCLUSIVE</x:t>
        </x:is>
      </x:c>
      <x:c r="E730" s="5">
        <x:v>0.9588</x:v>
      </x:c>
      <x:c r="F730" s="4">
        <x:v>0</x:v>
      </x:c>
      <x:c r="G730" s="4">
        <x:v>5450</x:v>
      </x:c>
      <x:c r="H730" s="6">
        <x:v>69.84</x:v>
      </x:c>
      <x:c r="I730" s="16">
        <x:v>1</x:v>
      </x:c>
      <x:c r="J730">
        <x:v>97</x:v>
      </x:c>
      <x:c r="K730" s="4">
        <x:v>93</x:v>
      </x:c>
      <x:c r="L730" s="4">
        <x:v>22</x:v>
      </x:c>
      <x:c r="M730" s="4">
        <x:v>21</x:v>
      </x:c>
      <x:c r="N730" s="5">
        <x:v>0.9545</x:v>
      </x:c>
    </x:row>
    <x:row r="731" ht="24" customHeight="1">
      <x:c r="A731" s="1" t="inlineStr">
        <x:is>
          <x:t xml:space="preserve">RESULT</x:t>
        </x:is>
      </x:c>
      <x:c r="B731" s="1" t="inlineStr">
        <x:is>
          <x:t xml:space="preserve">Round1</x:t>
        </x:is>
      </x:c>
      <x:c r="C731" s="1" t="inlineStr">
        <x:is>
          <x:t xml:space="preserve">Math_46</x:t>
        </x:is>
      </x:c>
      <x:c r="D731" s="1" t="inlineStr">
        <x:is>
          <x:t xml:space="preserve">NOT_AVAILABLE</x:t>
        </x:is>
      </x:c>
      <x:c r="E731" s="5"/>
      <x:c r="F731" s="4">
        <x:v>0</x:v>
      </x:c>
      <x:c r="G731" s="4">
        <x:v>7757</x:v>
      </x:c>
      <x:c r="H731" s="6">
        <x:v>117.78</x:v>
      </x:c>
      <x:c r="I731" s="16">
        <x:v>1</x:v>
      </x:c>
      <x:c r="J731"/>
      <x:c r="K731" s="4"/>
      <x:c r="L731" s="4"/>
      <x:c r="M731" s="4"/>
      <x:c r="N731" s="5"/>
    </x:row>
    <x:row r="732" ht="24" customHeight="1">
      <x:c r="A732" s="1" t="inlineStr">
        <x:is>
          <x:t xml:space="preserve">RESULT</x:t>
        </x:is>
      </x:c>
      <x:c r="B732" s="1" t="inlineStr">
        <x:is>
          <x:t xml:space="preserve">Round1</x:t>
        </x:is>
      </x:c>
      <x:c r="C732" s="1" t="inlineStr">
        <x:is>
          <x:t xml:space="preserve">Math_47</x:t>
        </x:is>
      </x:c>
      <x:c r="D732" s="1" t="inlineStr">
        <x:is>
          <x:t xml:space="preserve">NOT_AVAILABLE</x:t>
        </x:is>
      </x:c>
      <x:c r="E732" s="5"/>
      <x:c r="F732" s="4">
        <x:v>0</x:v>
      </x:c>
      <x:c r="G732" s="4">
        <x:v>8253</x:v>
      </x:c>
      <x:c r="H732" s="6">
        <x:v>118.11</x:v>
      </x:c>
      <x:c r="I732" s="16">
        <x:v>1</x:v>
      </x:c>
      <x:c r="J732"/>
      <x:c r="K732" s="4"/>
      <x:c r="L732" s="4"/>
      <x:c r="M732" s="4"/>
      <x:c r="N732" s="5"/>
    </x:row>
    <x:row r="733" ht="24" customHeight="1">
      <x:c r="A733" s="1" t="inlineStr">
        <x:is>
          <x:t xml:space="preserve">RESULT</x:t>
        </x:is>
      </x:c>
      <x:c r="B733" s="1" t="inlineStr">
        <x:is>
          <x:t xml:space="preserve">Round1</x:t>
        </x:is>
      </x:c>
      <x:c r="C733" s="1" t="inlineStr">
        <x:is>
          <x:t xml:space="preserve">Math_48</x:t>
        </x:is>
      </x:c>
      <x:c r="D733" s="1" t="inlineStr">
        <x:is>
          <x:t xml:space="preserve">NOT_AVAILABLE</x:t>
        </x:is>
      </x:c>
      <x:c r="E733" s="5"/>
      <x:c r="F733" s="4">
        <x:v>0</x:v>
      </x:c>
      <x:c r="G733" s="4">
        <x:v>5280</x:v>
      </x:c>
      <x:c r="H733" s="6">
        <x:v>61.93</x:v>
      </x:c>
      <x:c r="I733" s="16">
        <x:v>1</x:v>
      </x:c>
      <x:c r="J733"/>
      <x:c r="K733" s="4"/>
      <x:c r="L733" s="4"/>
      <x:c r="M733" s="4"/>
      <x:c r="N733" s="5"/>
    </x:row>
    <x:row r="734" ht="24" customHeight="1">
      <x:c r="A734" s="1" t="inlineStr">
        <x:is>
          <x:t xml:space="preserve">RESULT</x:t>
        </x:is>
      </x:c>
      <x:c r="B734" s="1" t="inlineStr">
        <x:is>
          <x:t xml:space="preserve">Round1</x:t>
        </x:is>
      </x:c>
      <x:c r="C734" s="1" t="inlineStr">
        <x:is>
          <x:t xml:space="preserve">Math_49</x:t>
        </x:is>
      </x:c>
      <x:c r="D734" s="1" t="inlineStr">
        <x:is>
          <x:t xml:space="preserve">NOT_AVAILABLE</x:t>
        </x:is>
      </x:c>
      <x:c r="E734" s="5"/>
      <x:c r="F734" s="4">
        <x:v>0</x:v>
      </x:c>
      <x:c r="G734" s="4">
        <x:v>10078</x:v>
      </x:c>
      <x:c r="H734" s="6">
        <x:v>146.78</x:v>
      </x:c>
      <x:c r="I734" s="16">
        <x:v>1</x:v>
      </x:c>
      <x:c r="J734"/>
      <x:c r="K734" s="4"/>
      <x:c r="L734" s="4"/>
      <x:c r="M734" s="4"/>
      <x:c r="N734" s="5"/>
    </x:row>
    <x:row r="735" ht="24" customHeight="1">
      <x:c r="A735" s="1" t="inlineStr">
        <x:is>
          <x:t xml:space="preserve">RESULT</x:t>
        </x:is>
      </x:c>
      <x:c r="B735" s="1" t="inlineStr">
        <x:is>
          <x:t xml:space="preserve">Round1</x:t>
        </x:is>
      </x:c>
      <x:c r="C735" s="1" t="inlineStr">
        <x:is>
          <x:t xml:space="preserve">Math_5</x:t>
        </x:is>
      </x:c>
      <x:c r="D735" s="1" t="inlineStr">
        <x:is>
          <x:t xml:space="preserve">NOT_AVAILABLE</x:t>
        </x:is>
      </x:c>
      <x:c r="E735" s="5"/>
      <x:c r="F735" s="4">
        <x:v>0</x:v>
      </x:c>
      <x:c r="G735" s="4">
        <x:v>8419</x:v>
      </x:c>
      <x:c r="H735" s="6">
        <x:v>126.85</x:v>
      </x:c>
      <x:c r="I735" s="16">
        <x:v>1</x:v>
      </x:c>
      <x:c r="J735"/>
      <x:c r="K735" s="4"/>
      <x:c r="L735" s="4"/>
      <x:c r="M735" s="4"/>
      <x:c r="N735" s="5"/>
    </x:row>
    <x:row r="736" ht="24" customHeight="1">
      <x:c r="A736" s="1" t="inlineStr">
        <x:is>
          <x:t xml:space="preserve">RESULT</x:t>
        </x:is>
      </x:c>
      <x:c r="B736" s="1" t="inlineStr">
        <x:is>
          <x:t xml:space="preserve">Round1</x:t>
        </x:is>
      </x:c>
      <x:c r="C736" s="1" t="inlineStr">
        <x:is>
          <x:t xml:space="preserve">Math_50</x:t>
        </x:is>
      </x:c>
      <x:c r="D736" s="1" t="inlineStr">
        <x:is>
          <x:t xml:space="preserve">NOT_AVAILABLE</x:t>
        </x:is>
      </x:c>
      <x:c r="E736" s="5"/>
      <x:c r="F736" s="4">
        <x:v>0</x:v>
      </x:c>
      <x:c r="G736" s="4">
        <x:v>7923</x:v>
      </x:c>
      <x:c r="H736" s="6">
        <x:v>67.74</x:v>
      </x:c>
      <x:c r="I736" s="16">
        <x:v>1</x:v>
      </x:c>
      <x:c r="J736"/>
      <x:c r="K736" s="4"/>
      <x:c r="L736" s="4"/>
      <x:c r="M736" s="4"/>
      <x:c r="N736" s="5"/>
    </x:row>
    <x:row r="737" ht="24" customHeight="1">
      <x:c r="A737" s="1" t="inlineStr">
        <x:is>
          <x:t xml:space="preserve">RESULT</x:t>
        </x:is>
      </x:c>
      <x:c r="B737" s="1" t="inlineStr">
        <x:is>
          <x:t xml:space="preserve">Round1</x:t>
        </x:is>
      </x:c>
      <x:c r="C737" s="1" t="inlineStr">
        <x:is>
          <x:t xml:space="preserve">Math_51</x:t>
        </x:is>
      </x:c>
      <x:c r="D737" s="1" t="inlineStr">
        <x:is>
          <x:t xml:space="preserve">NOT_AVAILABLE</x:t>
        </x:is>
      </x:c>
      <x:c r="E737" s="5"/>
      <x:c r="F737" s="4">
        <x:v>0</x:v>
      </x:c>
      <x:c r="G737" s="4">
        <x:v>6431</x:v>
      </x:c>
      <x:c r="H737" s="6">
        <x:v>100.17</x:v>
      </x:c>
      <x:c r="I737" s="16">
        <x:v>1</x:v>
      </x:c>
      <x:c r="J737"/>
      <x:c r="K737" s="4"/>
      <x:c r="L737" s="4"/>
      <x:c r="M737" s="4"/>
      <x:c r="N737" s="5"/>
    </x:row>
    <x:row r="738" ht="24" customHeight="1">
      <x:c r="A738" s="1" t="inlineStr">
        <x:is>
          <x:t xml:space="preserve">RESULT</x:t>
        </x:is>
      </x:c>
      <x:c r="B738" s="1" t="inlineStr">
        <x:is>
          <x:t xml:space="preserve">Round1</x:t>
        </x:is>
      </x:c>
      <x:c r="C738" s="1" t="inlineStr">
        <x:is>
          <x:t xml:space="preserve">Math_52</x:t>
        </x:is>
      </x:c>
      <x:c r="D738" s="1" t="inlineStr">
        <x:is>
          <x:t xml:space="preserve">NOT_AVAILABLE</x:t>
        </x:is>
      </x:c>
      <x:c r="E738" s="5"/>
      <x:c r="F738" s="4">
        <x:v>0</x:v>
      </x:c>
      <x:c r="G738" s="4">
        <x:v>10846</x:v>
      </x:c>
      <x:c r="H738" s="6">
        <x:v>89.28</x:v>
      </x:c>
      <x:c r="I738" s="16">
        <x:v>1</x:v>
      </x:c>
      <x:c r="J738"/>
      <x:c r="K738" s="4"/>
      <x:c r="L738" s="4"/>
      <x:c r="M738" s="4"/>
      <x:c r="N738" s="5"/>
    </x:row>
    <x:row r="739" ht="24" customHeight="1">
      <x:c r="A739" s="1" t="inlineStr">
        <x:is>
          <x:t xml:space="preserve">RESULT</x:t>
        </x:is>
      </x:c>
      <x:c r="B739" s="1" t="inlineStr">
        <x:is>
          <x:t xml:space="preserve">Round1</x:t>
        </x:is>
      </x:c>
      <x:c r="C739" s="1" t="inlineStr">
        <x:is>
          <x:t xml:space="preserve">Math_53</x:t>
        </x:is>
      </x:c>
      <x:c r="D739" s="1" t="inlineStr">
        <x:is>
          <x:t xml:space="preserve">NOT_AVAILABLE</x:t>
        </x:is>
      </x:c>
      <x:c r="E739" s="5"/>
      <x:c r="F739" s="4">
        <x:v>0</x:v>
      </x:c>
      <x:c r="G739" s="4">
        <x:v>7557</x:v>
      </x:c>
      <x:c r="H739" s="6">
        <x:v>125.41</x:v>
      </x:c>
      <x:c r="I739" s="16">
        <x:v>1</x:v>
      </x:c>
      <x:c r="J739"/>
      <x:c r="K739" s="4"/>
      <x:c r="L739" s="4"/>
      <x:c r="M739" s="4"/>
      <x:c r="N739" s="5"/>
    </x:row>
    <x:row r="740" ht="24" customHeight="1">
      <x:c r="A740" s="1" t="inlineStr">
        <x:is>
          <x:t xml:space="preserve">RESULT</x:t>
        </x:is>
      </x:c>
      <x:c r="B740" s="1" t="inlineStr">
        <x:is>
          <x:t xml:space="preserve">Round1</x:t>
        </x:is>
      </x:c>
      <x:c r="C740" s="1" t="inlineStr">
        <x:is>
          <x:t xml:space="preserve">Math_54</x:t>
        </x:is>
      </x:c>
      <x:c r="D740" s="1" t="inlineStr">
        <x:is>
          <x:t xml:space="preserve">NOT_AVAILABLE</x:t>
        </x:is>
      </x:c>
      <x:c r="E740" s="5"/>
      <x:c r="F740" s="4">
        <x:v>0</x:v>
      </x:c>
      <x:c r="G740" s="4">
        <x:v>17687</x:v>
      </x:c>
      <x:c r="H740" s="6">
        <x:v>113.54</x:v>
      </x:c>
      <x:c r="I740" s="16">
        <x:v>1</x:v>
      </x:c>
      <x:c r="J740"/>
      <x:c r="K740" s="4"/>
      <x:c r="L740" s="4"/>
      <x:c r="M740" s="4"/>
      <x:c r="N740" s="5"/>
    </x:row>
    <x:row r="741" ht="24" customHeight="1">
      <x:c r="A741" s="1" t="inlineStr">
        <x:is>
          <x:t xml:space="preserve">RESULT</x:t>
        </x:is>
      </x:c>
      <x:c r="B741" s="1" t="inlineStr">
        <x:is>
          <x:t xml:space="preserve">Round1</x:t>
        </x:is>
      </x:c>
      <x:c r="C741" s="1" t="inlineStr">
        <x:is>
          <x:t xml:space="preserve">Math_55</x:t>
        </x:is>
      </x:c>
      <x:c r="D741" s="1" t="inlineStr">
        <x:is>
          <x:t xml:space="preserve">NOT_AVAILABLE</x:t>
        </x:is>
      </x:c>
      <x:c r="E741" s="5"/>
      <x:c r="F741" s="4">
        <x:v>0</x:v>
      </x:c>
      <x:c r="G741" s="4">
        <x:v>9565</x:v>
      </x:c>
      <x:c r="H741" s="6">
        <x:v>97.13</x:v>
      </x:c>
      <x:c r="I741" s="16">
        <x:v>1</x:v>
      </x:c>
      <x:c r="J741"/>
      <x:c r="K741" s="4"/>
      <x:c r="L741" s="4"/>
      <x:c r="M741" s="4"/>
      <x:c r="N741" s="5"/>
    </x:row>
    <x:row r="742" ht="24" customHeight="1">
      <x:c r="A742" s="1" t="inlineStr">
        <x:is>
          <x:t xml:space="preserve">RESULT</x:t>
        </x:is>
      </x:c>
      <x:c r="B742" s="1" t="inlineStr">
        <x:is>
          <x:t xml:space="preserve">Round1</x:t>
        </x:is>
      </x:c>
      <x:c r="C742" s="1" t="inlineStr">
        <x:is>
          <x:t xml:space="preserve">Math_56</x:t>
        </x:is>
      </x:c>
      <x:c r="D742" s="1" t="inlineStr">
        <x:is>
          <x:t xml:space="preserve">INCONCLUSIVE</x:t>
        </x:is>
      </x:c>
      <x:c r="E742" s="5">
        <x:v>0.9867</x:v>
      </x:c>
      <x:c r="F742" s="4">
        <x:v>0</x:v>
      </x:c>
      <x:c r="G742" s="4">
        <x:v>5667</x:v>
      </x:c>
      <x:c r="H742" s="6">
        <x:v>76.47</x:v>
      </x:c>
      <x:c r="I742" s="16">
        <x:v>1</x:v>
      </x:c>
      <x:c r="J742">
        <x:v>75</x:v>
      </x:c>
      <x:c r="K742" s="4">
        <x:v>74</x:v>
      </x:c>
      <x:c r="L742" s="4">
        <x:v>34</x:v>
      </x:c>
      <x:c r="M742" s="4">
        <x:v>32</x:v>
      </x:c>
      <x:c r="N742" s="5">
        <x:v>0.9412</x:v>
      </x:c>
    </x:row>
    <x:row r="743" ht="24" customHeight="1">
      <x:c r="A743" s="1" t="inlineStr">
        <x:is>
          <x:t xml:space="preserve">RESULT</x:t>
        </x:is>
      </x:c>
      <x:c r="B743" s="1" t="inlineStr">
        <x:is>
          <x:t xml:space="preserve">Round1</x:t>
        </x:is>
      </x:c>
      <x:c r="C743" s="1" t="inlineStr">
        <x:is>
          <x:t xml:space="preserve">Math_57</x:t>
        </x:is>
      </x:c>
      <x:c r="D743" s="1" t="inlineStr">
        <x:is>
          <x:t xml:space="preserve">NOT_AVAILABLE</x:t>
        </x:is>
      </x:c>
      <x:c r="E743" s="5"/>
      <x:c r="F743" s="4">
        <x:v>0</x:v>
      </x:c>
      <x:c r="G743" s="4">
        <x:v>6535</x:v>
      </x:c>
      <x:c r="H743" s="6">
        <x:v>84.97</x:v>
      </x:c>
      <x:c r="I743" s="16">
        <x:v>1</x:v>
      </x:c>
      <x:c r="J743"/>
      <x:c r="K743" s="4"/>
      <x:c r="L743" s="4"/>
      <x:c r="M743" s="4"/>
      <x:c r="N743" s="5"/>
    </x:row>
    <x:row r="744" ht="24" customHeight="1">
      <x:c r="A744" s="1" t="inlineStr">
        <x:is>
          <x:t xml:space="preserve">RESULT</x:t>
        </x:is>
      </x:c>
      <x:c r="B744" s="1" t="inlineStr">
        <x:is>
          <x:t xml:space="preserve">Round1</x:t>
        </x:is>
      </x:c>
      <x:c r="C744" s="1" t="inlineStr">
        <x:is>
          <x:t xml:space="preserve">Math_58</x:t>
        </x:is>
      </x:c>
      <x:c r="D744" s="1" t="inlineStr">
        <x:is>
          <x:t xml:space="preserve">NOT_AVAILABLE</x:t>
        </x:is>
      </x:c>
      <x:c r="E744" s="5"/>
      <x:c r="F744" s="4">
        <x:v>0</x:v>
      </x:c>
      <x:c r="G744" s="4">
        <x:v>7243</x:v>
      </x:c>
      <x:c r="H744" s="6">
        <x:v>98.56</x:v>
      </x:c>
      <x:c r="I744" s="16">
        <x:v>1</x:v>
      </x:c>
      <x:c r="J744"/>
      <x:c r="K744" s="4"/>
      <x:c r="L744" s="4"/>
      <x:c r="M744" s="4"/>
      <x:c r="N744" s="5"/>
    </x:row>
    <x:row r="745" ht="24" customHeight="1">
      <x:c r="A745" s="1" t="inlineStr">
        <x:is>
          <x:t xml:space="preserve">RESULT</x:t>
        </x:is>
      </x:c>
      <x:c r="B745" s="1" t="inlineStr">
        <x:is>
          <x:t xml:space="preserve">Round1</x:t>
        </x:is>
      </x:c>
      <x:c r="C745" s="1" t="inlineStr">
        <x:is>
          <x:t xml:space="preserve">Math_59</x:t>
        </x:is>
      </x:c>
      <x:c r="D745" s="1" t="inlineStr">
        <x:is>
          <x:t xml:space="preserve">INCONCLUSIVE</x:t>
        </x:is>
      </x:c>
      <x:c r="E745" s="5">
        <x:v>0.7037</x:v>
      </x:c>
      <x:c r="F745" s="4">
        <x:v>0</x:v>
      </x:c>
      <x:c r="G745" s="4">
        <x:v>27938</x:v>
      </x:c>
      <x:c r="H745" s="6">
        <x:v>129.31</x:v>
      </x:c>
      <x:c r="I745" s="16">
        <x:v>1</x:v>
      </x:c>
      <x:c r="J745">
        <x:v>1549</x:v>
      </x:c>
      <x:c r="K745" s="4">
        <x:v>1090</x:v>
      </x:c>
      <x:c r="L745" s="4">
        <x:v>652</x:v>
      </x:c>
      <x:c r="M745" s="4">
        <x:v>284</x:v>
      </x:c>
      <x:c r="N745" s="5">
        <x:v>0.43560000000000004</x:v>
      </x:c>
    </x:row>
    <x:row r="746" ht="24" customHeight="1">
      <x:c r="A746" s="1" t="inlineStr">
        <x:is>
          <x:t xml:space="preserve">RESULT</x:t>
        </x:is>
      </x:c>
      <x:c r="B746" s="1" t="inlineStr">
        <x:is>
          <x:t xml:space="preserve">Round1</x:t>
        </x:is>
      </x:c>
      <x:c r="C746" s="1" t="inlineStr">
        <x:is>
          <x:t xml:space="preserve">Math_6</x:t>
        </x:is>
      </x:c>
      <x:c r="D746" s="1" t="inlineStr">
        <x:is>
          <x:t xml:space="preserve">NOT_AVAILABLE</x:t>
        </x:is>
      </x:c>
      <x:c r="E746" s="5"/>
      <x:c r="F746" s="4">
        <x:v>0</x:v>
      </x:c>
      <x:c r="G746" s="4">
        <x:v>64031</x:v>
      </x:c>
      <x:c r="H746" s="6">
        <x:v>1076.24</x:v>
      </x:c>
      <x:c r="I746" s="16">
        <x:v>1</x:v>
      </x:c>
      <x:c r="J746"/>
      <x:c r="K746" s="4"/>
      <x:c r="L746" s="4"/>
      <x:c r="M746" s="4"/>
      <x:c r="N746" s="5"/>
    </x:row>
    <x:row r="747" ht="24" customHeight="1">
      <x:c r="A747" s="1" t="inlineStr">
        <x:is>
          <x:t xml:space="preserve">RESULT</x:t>
        </x:is>
      </x:c>
      <x:c r="B747" s="1" t="inlineStr">
        <x:is>
          <x:t xml:space="preserve">Round1</x:t>
        </x:is>
      </x:c>
      <x:c r="C747" s="1" t="inlineStr">
        <x:is>
          <x:t xml:space="preserve">Math_60</x:t>
        </x:is>
      </x:c>
      <x:c r="D747" s="1" t="inlineStr">
        <x:is>
          <x:t xml:space="preserve">NOT_REVEALING</x:t>
        </x:is>
      </x:c>
      <x:c r="E747" s="5">
        <x:v>0.8723000000000001</x:v>
      </x:c>
      <x:c r="F747" s="4">
        <x:v>0</x:v>
      </x:c>
      <x:c r="G747" s="4">
        <x:v>26041</x:v>
      </x:c>
      <x:c r="H747" s="6">
        <x:v>961.7</x:v>
      </x:c>
      <x:c r="I747" s="16">
        <x:v>1</x:v>
      </x:c>
      <x:c r="J747">
        <x:v>47</x:v>
      </x:c>
      <x:c r="K747" s="4">
        <x:v>41</x:v>
      </x:c>
      <x:c r="L747" s="4">
        <x:v>18</x:v>
      </x:c>
      <x:c r="M747" s="4">
        <x:v>14</x:v>
      </x:c>
      <x:c r="N747" s="5">
        <x:v>0.7778</x:v>
      </x:c>
    </x:row>
    <x:row r="748" ht="24" customHeight="1">
      <x:c r="A748" s="1" t="inlineStr">
        <x:is>
          <x:t xml:space="preserve">RESULT</x:t>
        </x:is>
      </x:c>
      <x:c r="B748" s="1" t="inlineStr">
        <x:is>
          <x:t xml:space="preserve">Round1</x:t>
        </x:is>
      </x:c>
      <x:c r="C748" s="1" t="inlineStr">
        <x:is>
          <x:t xml:space="preserve">Math_61</x:t>
        </x:is>
      </x:c>
      <x:c r="D748" s="1" t="inlineStr">
        <x:is>
          <x:t xml:space="preserve">NOT_REVEALING</x:t>
        </x:is>
      </x:c>
      <x:c r="E748" s="5">
        <x:v>0.8234999999999999</x:v>
      </x:c>
      <x:c r="F748" s="4">
        <x:v>0</x:v>
      </x:c>
      <x:c r="G748" s="4">
        <x:v>10343</x:v>
      </x:c>
      <x:c r="H748" s="6">
        <x:v>74.38</x:v>
      </x:c>
      <x:c r="I748" s="16">
        <x:v>1</x:v>
      </x:c>
      <x:c r="J748">
        <x:v>34</x:v>
      </x:c>
      <x:c r="K748" s="4">
        <x:v>28</x:v>
      </x:c>
      <x:c r="L748" s="4">
        <x:v>12</x:v>
      </x:c>
      <x:c r="M748" s="4">
        <x:v>12</x:v>
      </x:c>
      <x:c r="N748" s="5">
        <x:v>1.0</x:v>
      </x:c>
    </x:row>
    <x:row r="749" ht="24" customHeight="1">
      <x:c r="A749" s="1" t="inlineStr">
        <x:is>
          <x:t xml:space="preserve">RESULT</x:t>
        </x:is>
      </x:c>
      <x:c r="B749" s="1" t="inlineStr">
        <x:is>
          <x:t xml:space="preserve">Round1</x:t>
        </x:is>
      </x:c>
      <x:c r="C749" s="1" t="inlineStr">
        <x:is>
          <x:t xml:space="preserve">Math_62</x:t>
        </x:is>
      </x:c>
      <x:c r="D749" s="1" t="inlineStr">
        <x:is>
          <x:t xml:space="preserve">NOT_AVAILABLE</x:t>
        </x:is>
      </x:c>
      <x:c r="E749" s="5"/>
      <x:c r="F749" s="4">
        <x:v>0</x:v>
      </x:c>
      <x:c r="G749" s="4">
        <x:v>9312</x:v>
      </x:c>
      <x:c r="H749" s="6">
        <x:v>53.11</x:v>
      </x:c>
      <x:c r="I749" s="16">
        <x:v>1</x:v>
      </x:c>
      <x:c r="J749"/>
      <x:c r="K749" s="4"/>
      <x:c r="L749" s="4"/>
      <x:c r="M749" s="4"/>
      <x:c r="N749" s="5"/>
    </x:row>
    <x:row r="750" ht="24" customHeight="1">
      <x:c r="A750" s="1" t="inlineStr">
        <x:is>
          <x:t xml:space="preserve">RESULT</x:t>
        </x:is>
      </x:c>
      <x:c r="B750" s="1" t="inlineStr">
        <x:is>
          <x:t xml:space="preserve">Round1</x:t>
        </x:is>
      </x:c>
      <x:c r="C750" s="1" t="inlineStr">
        <x:is>
          <x:t xml:space="preserve">Math_63</x:t>
        </x:is>
      </x:c>
      <x:c r="D750" s="1" t="inlineStr">
        <x:is>
          <x:t xml:space="preserve">INCONCLUSIVE</x:t>
        </x:is>
      </x:c>
      <x:c r="E750" s="5">
        <x:v>0.6139</x:v>
      </x:c>
      <x:c r="F750" s="4">
        <x:v>0</x:v>
      </x:c>
      <x:c r="G750" s="4">
        <x:v>13922</x:v>
      </x:c>
      <x:c r="H750" s="6">
        <x:v>105.32</x:v>
      </x:c>
      <x:c r="I750" s="16">
        <x:v>1</x:v>
      </x:c>
      <x:c r="J750">
        <x:v>518</x:v>
      </x:c>
      <x:c r="K750" s="4">
        <x:v>318</x:v>
      </x:c>
      <x:c r="L750" s="4">
        <x:v>441</x:v>
      </x:c>
      <x:c r="M750" s="4">
        <x:v>254</x:v>
      </x:c>
      <x:c r="N750" s="5">
        <x:v>0.5760000000000001</x:v>
      </x:c>
    </x:row>
    <x:row r="751" ht="24" customHeight="1">
      <x:c r="A751" s="1" t="inlineStr">
        <x:is>
          <x:t xml:space="preserve">RESULT</x:t>
        </x:is>
      </x:c>
      <x:c r="B751" s="1" t="inlineStr">
        <x:is>
          <x:t xml:space="preserve">Round1</x:t>
        </x:is>
      </x:c>
      <x:c r="C751" s="1" t="inlineStr">
        <x:is>
          <x:t xml:space="preserve">Math_64</x:t>
        </x:is>
      </x:c>
      <x:c r="D751" s="1" t="inlineStr">
        <x:is>
          <x:t xml:space="preserve">NOT_AVAILABLE</x:t>
        </x:is>
      </x:c>
      <x:c r="E751" s="5"/>
      <x:c r="F751" s="4">
        <x:v>0</x:v>
      </x:c>
      <x:c r="G751" s="4">
        <x:v>16521</x:v>
      </x:c>
      <x:c r="H751" s="6">
        <x:v>98.57</x:v>
      </x:c>
      <x:c r="I751" s="16">
        <x:v>1</x:v>
      </x:c>
      <x:c r="J751"/>
      <x:c r="K751" s="4"/>
      <x:c r="L751" s="4"/>
      <x:c r="M751" s="4"/>
      <x:c r="N751" s="5"/>
    </x:row>
    <x:row r="752" ht="24" customHeight="1">
      <x:c r="A752" s="1" t="inlineStr">
        <x:is>
          <x:t xml:space="preserve">RESULT</x:t>
        </x:is>
      </x:c>
      <x:c r="B752" s="1" t="inlineStr">
        <x:is>
          <x:t xml:space="preserve">Round1</x:t>
        </x:is>
      </x:c>
      <x:c r="C752" s="1" t="inlineStr">
        <x:is>
          <x:t xml:space="preserve">Math_65</x:t>
        </x:is>
      </x:c>
      <x:c r="D752" s="1" t="inlineStr">
        <x:is>
          <x:t xml:space="preserve">NOT_AVAILABLE</x:t>
        </x:is>
      </x:c>
      <x:c r="E752" s="5"/>
      <x:c r="F752" s="4">
        <x:v>0</x:v>
      </x:c>
      <x:c r="G752" s="4">
        <x:v>10624</x:v>
      </x:c>
      <x:c r="H752" s="6">
        <x:v>59.06</x:v>
      </x:c>
      <x:c r="I752" s="16">
        <x:v>1</x:v>
      </x:c>
      <x:c r="J752"/>
      <x:c r="K752" s="4"/>
      <x:c r="L752" s="4"/>
      <x:c r="M752" s="4"/>
      <x:c r="N752" s="5"/>
    </x:row>
    <x:row r="753" ht="24" customHeight="1">
      <x:c r="A753" s="1" t="inlineStr">
        <x:is>
          <x:t xml:space="preserve">RESULT</x:t>
        </x:is>
      </x:c>
      <x:c r="B753" s="1" t="inlineStr">
        <x:is>
          <x:t xml:space="preserve">Round1</x:t>
        </x:is>
      </x:c>
      <x:c r="C753" s="1" t="inlineStr">
        <x:is>
          <x:t xml:space="preserve">Math_66</x:t>
        </x:is>
      </x:c>
      <x:c r="D753" s="1" t="inlineStr">
        <x:is>
          <x:t xml:space="preserve">INCONCLUSIVE</x:t>
        </x:is>
      </x:c>
      <x:c r="E753" s="5">
        <x:v>1.0</x:v>
      </x:c>
      <x:c r="F753" s="4">
        <x:v>0</x:v>
      </x:c>
      <x:c r="G753" s="4">
        <x:v>5161</x:v>
      </x:c>
      <x:c r="H753" s="6">
        <x:v>19.17</x:v>
      </x:c>
      <x:c r="I753" s="16">
        <x:v>1</x:v>
      </x:c>
      <x:c r="J753">
        <x:v>102</x:v>
      </x:c>
      <x:c r="K753" s="4">
        <x:v>102</x:v>
      </x:c>
      <x:c r="L753" s="4">
        <x:v>58</x:v>
      </x:c>
      <x:c r="M753" s="4">
        <x:v>55</x:v>
      </x:c>
      <x:c r="N753" s="5">
        <x:v>0.9483</x:v>
      </x:c>
    </x:row>
    <x:row r="754" ht="24" customHeight="1">
      <x:c r="A754" s="1" t="inlineStr">
        <x:is>
          <x:t xml:space="preserve">RESULT</x:t>
        </x:is>
      </x:c>
      <x:c r="B754" s="1" t="inlineStr">
        <x:is>
          <x:t xml:space="preserve">Round1</x:t>
        </x:is>
      </x:c>
      <x:c r="C754" s="1" t="inlineStr">
        <x:is>
          <x:t xml:space="preserve">Math_67</x:t>
        </x:is>
      </x:c>
      <x:c r="D754" s="1" t="inlineStr">
        <x:is>
          <x:t xml:space="preserve">INCONCLUSIVE</x:t>
        </x:is>
      </x:c>
      <x:c r="E754" s="5">
        <x:v>0.8172</x:v>
      </x:c>
      <x:c r="F754" s="4">
        <x:v>0</x:v>
      </x:c>
      <x:c r="G754" s="4">
        <x:v>7273</x:v>
      </x:c>
      <x:c r="H754" s="6">
        <x:v>30.09</x:v>
      </x:c>
      <x:c r="I754" s="16">
        <x:v>1</x:v>
      </x:c>
      <x:c r="J754">
        <x:v>93</x:v>
      </x:c>
      <x:c r="K754" s="4">
        <x:v>76</x:v>
      </x:c>
      <x:c r="L754" s="4">
        <x:v>34</x:v>
      </x:c>
      <x:c r="M754" s="4">
        <x:v>29</x:v>
      </x:c>
      <x:c r="N754" s="5">
        <x:v>0.8529000000000001</x:v>
      </x:c>
    </x:row>
    <x:row r="755" ht="24" customHeight="1">
      <x:c r="A755" s="1" t="inlineStr">
        <x:is>
          <x:t xml:space="preserve">RESULT</x:t>
        </x:is>
      </x:c>
      <x:c r="B755" s="1" t="inlineStr">
        <x:is>
          <x:t xml:space="preserve">Round1</x:t>
        </x:is>
      </x:c>
      <x:c r="C755" s="1" t="inlineStr">
        <x:is>
          <x:t xml:space="preserve">Math_68</x:t>
        </x:is>
      </x:c>
      <x:c r="D755" s="1" t="inlineStr">
        <x:is>
          <x:t xml:space="preserve">NOT_AVAILABLE</x:t>
        </x:is>
      </x:c>
      <x:c r="E755" s="5"/>
      <x:c r="F755" s="4">
        <x:v>0</x:v>
      </x:c>
      <x:c r="G755" s="4">
        <x:v>11389</x:v>
      </x:c>
      <x:c r="H755" s="6">
        <x:v>55.21</x:v>
      </x:c>
      <x:c r="I755" s="16">
        <x:v>1</x:v>
      </x:c>
      <x:c r="J755"/>
      <x:c r="K755" s="4"/>
      <x:c r="L755" s="4"/>
      <x:c r="M755" s="4"/>
      <x:c r="N755" s="5"/>
    </x:row>
    <x:row r="756" ht="24" customHeight="1">
      <x:c r="A756" s="1" t="inlineStr">
        <x:is>
          <x:t xml:space="preserve">RESULT</x:t>
        </x:is>
      </x:c>
      <x:c r="B756" s="1" t="inlineStr">
        <x:is>
          <x:t xml:space="preserve">Round1</x:t>
        </x:is>
      </x:c>
      <x:c r="C756" s="1" t="inlineStr">
        <x:is>
          <x:t xml:space="preserve">Math_69</x:t>
        </x:is>
      </x:c>
      <x:c r="D756" s="1" t="inlineStr">
        <x:is>
          <x:t xml:space="preserve">NOT_REVEALING</x:t>
        </x:is>
      </x:c>
      <x:c r="E756" s="5">
        <x:v>0.92</x:v>
      </x:c>
      <x:c r="F756" s="4">
        <x:v>0</x:v>
      </x:c>
      <x:c r="G756" s="4">
        <x:v>9872</x:v>
      </x:c>
      <x:c r="H756" s="6">
        <x:v>100.58</x:v>
      </x:c>
      <x:c r="I756" s="16">
        <x:v>1</x:v>
      </x:c>
      <x:c r="J756">
        <x:v>75</x:v>
      </x:c>
      <x:c r="K756" s="4">
        <x:v>69</x:v>
      </x:c>
      <x:c r="L756" s="4">
        <x:v>30</x:v>
      </x:c>
      <x:c r="M756" s="4">
        <x:v>29</x:v>
      </x:c>
      <x:c r="N756" s="5">
        <x:v>0.9667</x:v>
      </x:c>
    </x:row>
    <x:row r="757" ht="24" customHeight="1">
      <x:c r="A757" s="1" t="inlineStr">
        <x:is>
          <x:t xml:space="preserve">RESULT</x:t>
        </x:is>
      </x:c>
      <x:c r="B757" s="1" t="inlineStr">
        <x:is>
          <x:t xml:space="preserve">Round1</x:t>
        </x:is>
      </x:c>
      <x:c r="C757" s="1" t="inlineStr">
        <x:is>
          <x:t xml:space="preserve">Math_7</x:t>
        </x:is>
      </x:c>
      <x:c r="D757" s="1" t="inlineStr">
        <x:is>
          <x:t xml:space="preserve">NOT_AVAILABLE</x:t>
        </x:is>
      </x:c>
      <x:c r="E757" s="5"/>
      <x:c r="F757" s="4">
        <x:v>0</x:v>
      </x:c>
      <x:c r="G757" s="4">
        <x:v>16749</x:v>
      </x:c>
      <x:c r="H757" s="6">
        <x:v>114.74</x:v>
      </x:c>
      <x:c r="I757" s="16">
        <x:v>1</x:v>
      </x:c>
      <x:c r="J757"/>
      <x:c r="K757" s="4"/>
      <x:c r="L757" s="4"/>
      <x:c r="M757" s="4"/>
      <x:c r="N757" s="5"/>
    </x:row>
    <x:row r="758" ht="24" customHeight="1">
      <x:c r="A758" s="1" t="inlineStr">
        <x:is>
          <x:t xml:space="preserve">RESULT</x:t>
        </x:is>
      </x:c>
      <x:c r="B758" s="1" t="inlineStr">
        <x:is>
          <x:t xml:space="preserve">Round1</x:t>
        </x:is>
      </x:c>
      <x:c r="C758" s="1" t="inlineStr">
        <x:is>
          <x:t xml:space="preserve">Math_70</x:t>
        </x:is>
      </x:c>
      <x:c r="D758" s="1" t="inlineStr">
        <x:is>
          <x:t xml:space="preserve">INCONCLUSIVE</x:t>
        </x:is>
      </x:c>
      <x:c r="E758" s="5">
        <x:v>0.7826000000000001</x:v>
      </x:c>
      <x:c r="F758" s="4">
        <x:v>0</x:v>
      </x:c>
      <x:c r="G758" s="4">
        <x:v>7764</x:v>
      </x:c>
      <x:c r="H758" s="6">
        <x:v>62.75</x:v>
      </x:c>
      <x:c r="I758" s="16">
        <x:v>1</x:v>
      </x:c>
      <x:c r="J758">
        <x:v>23</x:v>
      </x:c>
      <x:c r="K758" s="4">
        <x:v>18</x:v>
      </x:c>
      <x:c r="L758" s="4">
        <x:v>6</x:v>
      </x:c>
      <x:c r="M758" s="4">
        <x:v>6</x:v>
      </x:c>
      <x:c r="N758" s="5">
        <x:v>1.0</x:v>
      </x:c>
    </x:row>
    <x:row r="759" ht="24" customHeight="1">
      <x:c r="A759" s="1" t="inlineStr">
        <x:is>
          <x:t xml:space="preserve">RESULT</x:t>
        </x:is>
      </x:c>
      <x:c r="B759" s="1" t="inlineStr">
        <x:is>
          <x:t xml:space="preserve">Round1</x:t>
        </x:is>
      </x:c>
      <x:c r="C759" s="1" t="inlineStr">
        <x:is>
          <x:t xml:space="preserve">Math_71</x:t>
        </x:is>
      </x:c>
      <x:c r="D759" s="1" t="inlineStr">
        <x:is>
          <x:t xml:space="preserve">NOT_AVAILABLE</x:t>
        </x:is>
      </x:c>
      <x:c r="E759" s="5"/>
      <x:c r="F759" s="4">
        <x:v>0</x:v>
      </x:c>
      <x:c r="G759" s="4">
        <x:v>19701</x:v>
      </x:c>
      <x:c r="H759" s="6">
        <x:v>123.0</x:v>
      </x:c>
      <x:c r="I759" s="16">
        <x:v>1</x:v>
      </x:c>
      <x:c r="J759"/>
      <x:c r="K759" s="4"/>
      <x:c r="L759" s="4"/>
      <x:c r="M759" s="4"/>
      <x:c r="N759" s="5"/>
    </x:row>
    <x:row r="760" ht="24" customHeight="1">
      <x:c r="A760" s="1" t="inlineStr">
        <x:is>
          <x:t xml:space="preserve">RESULT</x:t>
        </x:is>
      </x:c>
      <x:c r="B760" s="1" t="inlineStr">
        <x:is>
          <x:t xml:space="preserve">Round1</x:t>
        </x:is>
      </x:c>
      <x:c r="C760" s="1" t="inlineStr">
        <x:is>
          <x:t xml:space="preserve">Math_72</x:t>
        </x:is>
      </x:c>
      <x:c r="D760" s="1" t="inlineStr">
        <x:is>
          <x:t xml:space="preserve">INCONCLUSIVE</x:t>
        </x:is>
      </x:c>
      <x:c r="E760" s="5">
        <x:v>0.8598</x:v>
      </x:c>
      <x:c r="F760" s="4">
        <x:v>0</x:v>
      </x:c>
      <x:c r="G760" s="4">
        <x:v>11178</x:v>
      </x:c>
      <x:c r="H760" s="6">
        <x:v>64.83</x:v>
      </x:c>
      <x:c r="I760" s="16">
        <x:v>1</x:v>
      </x:c>
      <x:c r="J760">
        <x:v>107</x:v>
      </x:c>
      <x:c r="K760" s="4">
        <x:v>92</x:v>
      </x:c>
      <x:c r="L760" s="4">
        <x:v>54</x:v>
      </x:c>
      <x:c r="M760" s="4">
        <x:v>44</x:v>
      </x:c>
      <x:c r="N760" s="5">
        <x:v>0.8148000000000001</x:v>
      </x:c>
    </x:row>
    <x:row r="761" ht="24" customHeight="1">
      <x:c r="A761" s="1" t="inlineStr">
        <x:is>
          <x:t xml:space="preserve">RESULT</x:t>
        </x:is>
      </x:c>
      <x:c r="B761" s="1" t="inlineStr">
        <x:is>
          <x:t xml:space="preserve">Round1</x:t>
        </x:is>
      </x:c>
      <x:c r="C761" s="1" t="inlineStr">
        <x:is>
          <x:t xml:space="preserve">Math_73</x:t>
        </x:is>
      </x:c>
      <x:c r="D761" s="1" t="inlineStr">
        <x:is>
          <x:t xml:space="preserve">NOT_REVEALING</x:t>
        </x:is>
      </x:c>
      <x:c r="E761" s="5">
        <x:v>0.8462000000000001</x:v>
      </x:c>
      <x:c r="F761" s="4">
        <x:v>0</x:v>
      </x:c>
      <x:c r="G761" s="4">
        <x:v>6713</x:v>
      </x:c>
      <x:c r="H761" s="6">
        <x:v>27.68</x:v>
      </x:c>
      <x:c r="I761" s="16">
        <x:v>1</x:v>
      </x:c>
      <x:c r="J761">
        <x:v>104</x:v>
      </x:c>
      <x:c r="K761" s="4">
        <x:v>88</x:v>
      </x:c>
      <x:c r="L761" s="4">
        <x:v>52</x:v>
      </x:c>
      <x:c r="M761" s="4">
        <x:v>42</x:v>
      </x:c>
      <x:c r="N761" s="5">
        <x:v>0.8077</x:v>
      </x:c>
    </x:row>
    <x:row r="762" ht="24" customHeight="1">
      <x:c r="A762" s="1" t="inlineStr">
        <x:is>
          <x:t xml:space="preserve">RESULT</x:t>
        </x:is>
      </x:c>
      <x:c r="B762" s="1" t="inlineStr">
        <x:is>
          <x:t xml:space="preserve">Round1</x:t>
        </x:is>
      </x:c>
      <x:c r="C762" s="1" t="inlineStr">
        <x:is>
          <x:t xml:space="preserve">Math_74</x:t>
        </x:is>
      </x:c>
      <x:c r="D762" s="1" t="inlineStr">
        <x:is>
          <x:t xml:space="preserve">NOT_AVAILABLE</x:t>
        </x:is>
      </x:c>
      <x:c r="E762" s="5"/>
      <x:c r="F762" s="4">
        <x:v>0</x:v>
      </x:c>
      <x:c r="G762" s="4">
        <x:v>17383</x:v>
      </x:c>
      <x:c r="H762" s="6">
        <x:v>125.69</x:v>
      </x:c>
      <x:c r="I762" s="16">
        <x:v>1</x:v>
      </x:c>
      <x:c r="J762"/>
      <x:c r="K762" s="4"/>
      <x:c r="L762" s="4"/>
      <x:c r="M762" s="4"/>
      <x:c r="N762" s="5"/>
    </x:row>
    <x:row r="763" ht="24" customHeight="1">
      <x:c r="A763" s="1" t="inlineStr">
        <x:is>
          <x:t xml:space="preserve">RESULT</x:t>
        </x:is>
      </x:c>
      <x:c r="B763" s="1" t="inlineStr">
        <x:is>
          <x:t xml:space="preserve">Round1</x:t>
        </x:is>
      </x:c>
      <x:c r="C763" s="1" t="inlineStr">
        <x:is>
          <x:t xml:space="preserve">Math_75</x:t>
        </x:is>
      </x:c>
      <x:c r="D763" s="1" t="inlineStr">
        <x:is>
          <x:t xml:space="preserve">INCONCLUSIVE</x:t>
        </x:is>
      </x:c>
      <x:c r="E763" s="5">
        <x:v>0.8506999999999999</x:v>
      </x:c>
      <x:c r="F763" s="4">
        <x:v>0</x:v>
      </x:c>
      <x:c r="G763" s="4">
        <x:v>8972</x:v>
      </x:c>
      <x:c r="H763" s="6">
        <x:v>28.58</x:v>
      </x:c>
      <x:c r="I763" s="16">
        <x:v>1</x:v>
      </x:c>
      <x:c r="J763">
        <x:v>134</x:v>
      </x:c>
      <x:c r="K763" s="4">
        <x:v>114</x:v>
      </x:c>
      <x:c r="L763" s="4">
        <x:v>48</x:v>
      </x:c>
      <x:c r="M763" s="4">
        <x:v>37</x:v>
      </x:c>
      <x:c r="N763" s="5">
        <x:v>0.7707999999999999</x:v>
      </x:c>
    </x:row>
    <x:row r="764" ht="24" customHeight="1">
      <x:c r="A764" s="1" t="inlineStr">
        <x:is>
          <x:t xml:space="preserve">RESULT</x:t>
        </x:is>
      </x:c>
      <x:c r="B764" s="1" t="inlineStr">
        <x:is>
          <x:t xml:space="preserve">Round1</x:t>
        </x:is>
      </x:c>
      <x:c r="C764" s="1" t="inlineStr">
        <x:is>
          <x:t xml:space="preserve">Math_76</x:t>
        </x:is>
      </x:c>
      <x:c r="D764" s="1" t="inlineStr">
        <x:is>
          <x:t xml:space="preserve">INCONCLUSIVE</x:t>
        </x:is>
      </x:c>
      <x:c r="E764" s="5">
        <x:v>0.7985</x:v>
      </x:c>
      <x:c r="F764" s="4">
        <x:v>0</x:v>
      </x:c>
      <x:c r="G764" s="4">
        <x:v>7946</x:v>
      </x:c>
      <x:c r="H764" s="6">
        <x:v>28.25</x:v>
      </x:c>
      <x:c r="I764" s="16">
        <x:v>1</x:v>
      </x:c>
      <x:c r="J764">
        <x:v>134</x:v>
      </x:c>
      <x:c r="K764" s="4">
        <x:v>107</x:v>
      </x:c>
      <x:c r="L764" s="4">
        <x:v>54</x:v>
      </x:c>
      <x:c r="M764" s="4">
        <x:v>36</x:v>
      </x:c>
      <x:c r="N764" s="5">
        <x:v>0.6667000000000001</x:v>
      </x:c>
    </x:row>
    <x:row r="765" ht="24" customHeight="1">
      <x:c r="A765" s="1" t="inlineStr">
        <x:is>
          <x:t xml:space="preserve">RESULT</x:t>
        </x:is>
      </x:c>
      <x:c r="B765" s="1" t="inlineStr">
        <x:is>
          <x:t xml:space="preserve">Round1</x:t>
        </x:is>
      </x:c>
      <x:c r="C765" s="1" t="inlineStr">
        <x:is>
          <x:t xml:space="preserve">Math_77</x:t>
        </x:is>
      </x:c>
      <x:c r="D765" s="1" t="inlineStr">
        <x:is>
          <x:t xml:space="preserve">NOT_AVAILABLE</x:t>
        </x:is>
      </x:c>
      <x:c r="E765" s="5"/>
      <x:c r="F765" s="4">
        <x:v>0</x:v>
      </x:c>
      <x:c r="G765" s="4">
        <x:v>23852</x:v>
      </x:c>
      <x:c r="H765" s="6">
        <x:v>89.57</x:v>
      </x:c>
      <x:c r="I765" s="16">
        <x:v>1</x:v>
      </x:c>
      <x:c r="J765"/>
      <x:c r="K765" s="4"/>
      <x:c r="L765" s="4"/>
      <x:c r="M765" s="4"/>
      <x:c r="N765" s="5"/>
    </x:row>
    <x:row r="766" ht="24" customHeight="1">
      <x:c r="A766" s="1" t="inlineStr">
        <x:is>
          <x:t xml:space="preserve">RESULT</x:t>
        </x:is>
      </x:c>
      <x:c r="B766" s="1" t="inlineStr">
        <x:is>
          <x:t xml:space="preserve">Round1</x:t>
        </x:is>
      </x:c>
      <x:c r="C766" s="1" t="inlineStr">
        <x:is>
          <x:t xml:space="preserve">Math_78</x:t>
        </x:is>
      </x:c>
      <x:c r="D766" s="1" t="inlineStr">
        <x:is>
          <x:t xml:space="preserve">NOT_AVAILABLE</x:t>
        </x:is>
      </x:c>
      <x:c r="E766" s="5"/>
      <x:c r="F766" s="4">
        <x:v>0</x:v>
      </x:c>
      <x:c r="G766" s="4">
        <x:v>25626</x:v>
      </x:c>
      <x:c r="H766" s="6">
        <x:v>211.91</x:v>
      </x:c>
      <x:c r="I766" s="16">
        <x:v>1</x:v>
      </x:c>
      <x:c r="J766"/>
      <x:c r="K766" s="4"/>
      <x:c r="L766" s="4"/>
      <x:c r="M766" s="4"/>
      <x:c r="N766" s="5"/>
    </x:row>
    <x:row r="767" ht="24" customHeight="1">
      <x:c r="A767" s="1" t="inlineStr">
        <x:is>
          <x:t xml:space="preserve">RESULT</x:t>
        </x:is>
      </x:c>
      <x:c r="B767" s="1" t="inlineStr">
        <x:is>
          <x:t xml:space="preserve">Round1</x:t>
        </x:is>
      </x:c>
      <x:c r="C767" s="1" t="inlineStr">
        <x:is>
          <x:t xml:space="preserve">Math_79</x:t>
        </x:is>
      </x:c>
      <x:c r="D767" s="1" t="inlineStr">
        <x:is>
          <x:t xml:space="preserve">INCONCLUSIVE</x:t>
        </x:is>
      </x:c>
      <x:c r="E767" s="5">
        <x:v>0.6333</x:v>
      </x:c>
      <x:c r="F767" s="4">
        <x:v>0</x:v>
      </x:c>
      <x:c r="G767" s="4">
        <x:v>20155</x:v>
      </x:c>
      <x:c r="H767" s="6">
        <x:v>98.61</x:v>
      </x:c>
      <x:c r="I767" s="16">
        <x:v>1</x:v>
      </x:c>
      <x:c r="J767">
        <x:v>420</x:v>
      </x:c>
      <x:c r="K767" s="4">
        <x:v>266</x:v>
      </x:c>
      <x:c r="L767" s="4">
        <x:v>345</x:v>
      </x:c>
      <x:c r="M767" s="4">
        <x:v>216</x:v>
      </x:c>
      <x:c r="N767" s="5">
        <x:v>0.6261</x:v>
      </x:c>
    </x:row>
    <x:row r="768" ht="24" customHeight="1">
      <x:c r="A768" s="1" t="inlineStr">
        <x:is>
          <x:t xml:space="preserve">RESULT</x:t>
        </x:is>
      </x:c>
      <x:c r="B768" s="1" t="inlineStr">
        <x:is>
          <x:t xml:space="preserve">Round1</x:t>
        </x:is>
      </x:c>
      <x:c r="C768" s="1" t="inlineStr">
        <x:is>
          <x:t xml:space="preserve">Math_8</x:t>
        </x:is>
      </x:c>
      <x:c r="D768" s="1" t="inlineStr">
        <x:is>
          <x:t xml:space="preserve">NOT_AVAILABLE</x:t>
        </x:is>
      </x:c>
      <x:c r="E768" s="5">
        <x:v>0.975</x:v>
      </x:c>
      <x:c r="F768" s="4">
        <x:v>0</x:v>
      </x:c>
      <x:c r="G768" s="4">
        <x:v>6361</x:v>
      </x:c>
      <x:c r="H768" s="6">
        <x:v>36.26</x:v>
      </x:c>
      <x:c r="I768" s="16">
        <x:v>1</x:v>
      </x:c>
      <x:c r="J768">
        <x:v>40</x:v>
      </x:c>
      <x:c r="K768" s="4">
        <x:v>39</x:v>
      </x:c>
      <x:c r="L768" s="4">
        <x:v>24</x:v>
      </x:c>
      <x:c r="M768" s="4">
        <x:v>23</x:v>
      </x:c>
      <x:c r="N768" s="5">
        <x:v>0.9582999999999999</x:v>
      </x:c>
    </x:row>
    <x:row r="769" ht="24" customHeight="1">
      <x:c r="A769" s="1" t="inlineStr">
        <x:is>
          <x:t xml:space="preserve">RESULT</x:t>
        </x:is>
      </x:c>
      <x:c r="B769" s="1" t="inlineStr">
        <x:is>
          <x:t xml:space="preserve">Round1</x:t>
        </x:is>
      </x:c>
      <x:c r="C769" s="1" t="inlineStr">
        <x:is>
          <x:t xml:space="preserve">Math_80</x:t>
        </x:is>
      </x:c>
      <x:c r="D769" s="1" t="inlineStr">
        <x:is>
          <x:t xml:space="preserve">INCONCLUSIVE</x:t>
        </x:is>
      </x:c>
      <x:c r="E769" s="5">
        <x:v>0.33020000000000005</x:v>
      </x:c>
      <x:c r="F769" s="4">
        <x:v>0</x:v>
      </x:c>
      <x:c r="G769" s="4">
        <x:v>19765</x:v>
      </x:c>
      <x:c r="H769" s="6">
        <x:v>89.85</x:v>
      </x:c>
      <x:c r="I769" s="16">
        <x:v>1</x:v>
      </x:c>
      <x:c r="J769">
        <x:v>854</x:v>
      </x:c>
      <x:c r="K769" s="4">
        <x:v>282</x:v>
      </x:c>
      <x:c r="L769" s="4">
        <x:v>414</x:v>
      </x:c>
      <x:c r="M769" s="4">
        <x:v>80</x:v>
      </x:c>
      <x:c r="N769" s="5">
        <x:v>0.1932</x:v>
      </x:c>
    </x:row>
    <x:row r="770" ht="24" customHeight="1">
      <x:c r="A770" s="1" t="inlineStr">
        <x:is>
          <x:t xml:space="preserve">RESULT</x:t>
        </x:is>
      </x:c>
      <x:c r="B770" s="1" t="inlineStr">
        <x:is>
          <x:t xml:space="preserve">Round1</x:t>
        </x:is>
      </x:c>
      <x:c r="C770" s="1" t="inlineStr">
        <x:is>
          <x:t xml:space="preserve">Math_81</x:t>
        </x:is>
      </x:c>
      <x:c r="D770" s="1" t="inlineStr">
        <x:is>
          <x:t xml:space="preserve">NOT_REVEALING</x:t>
        </x:is>
      </x:c>
      <x:c r="E770" s="5">
        <x:v>0.3353</x:v>
      </x:c>
      <x:c r="F770" s="4">
        <x:v>0</x:v>
      </x:c>
      <x:c r="G770" s="4">
        <x:v>18310</x:v>
      </x:c>
      <x:c r="H770" s="6">
        <x:v>41.98</x:v>
      </x:c>
      <x:c r="I770" s="16">
        <x:v>1</x:v>
      </x:c>
      <x:c r="J770">
        <x:v>853</x:v>
      </x:c>
      <x:c r="K770" s="4">
        <x:v>286</x:v>
      </x:c>
      <x:c r="L770" s="4">
        <x:v>414</x:v>
      </x:c>
      <x:c r="M770" s="4">
        <x:v>84</x:v>
      </x:c>
      <x:c r="N770" s="5">
        <x:v>0.2029</x:v>
      </x:c>
    </x:row>
    <x:row r="771" ht="24" customHeight="1">
      <x:c r="A771" s="1" t="inlineStr">
        <x:is>
          <x:t xml:space="preserve">RESULT</x:t>
        </x:is>
      </x:c>
      <x:c r="B771" s="1" t="inlineStr">
        <x:is>
          <x:t xml:space="preserve">Round1</x:t>
        </x:is>
      </x:c>
      <x:c r="C771" s="1" t="inlineStr">
        <x:is>
          <x:t xml:space="preserve">Math_82</x:t>
        </x:is>
      </x:c>
      <x:c r="D771" s="1" t="inlineStr">
        <x:is>
          <x:t xml:space="preserve">NOT_AVAILABLE</x:t>
        </x:is>
      </x:c>
      <x:c r="E771" s="5"/>
      <x:c r="F771" s="4">
        <x:v>0</x:v>
      </x:c>
      <x:c r="G771" s="4">
        <x:v>9364</x:v>
      </x:c>
      <x:c r="H771" s="6">
        <x:v>68.84</x:v>
      </x:c>
      <x:c r="I771" s="16">
        <x:v>1</x:v>
      </x:c>
      <x:c r="J771"/>
      <x:c r="K771" s="4"/>
      <x:c r="L771" s="4"/>
      <x:c r="M771" s="4"/>
      <x:c r="N771" s="5"/>
    </x:row>
    <x:row r="772" ht="24" customHeight="1">
      <x:c r="A772" s="1" t="inlineStr">
        <x:is>
          <x:t xml:space="preserve">RESULT</x:t>
        </x:is>
      </x:c>
      <x:c r="B772" s="1" t="inlineStr">
        <x:is>
          <x:t xml:space="preserve">Round1</x:t>
        </x:is>
      </x:c>
      <x:c r="C772" s="1" t="inlineStr">
        <x:is>
          <x:t xml:space="preserve">Math_83</x:t>
        </x:is>
      </x:c>
      <x:c r="D772" s="1" t="inlineStr">
        <x:is>
          <x:t xml:space="preserve">NOT_AVAILABLE</x:t>
        </x:is>
      </x:c>
      <x:c r="E772" s="5"/>
      <x:c r="F772" s="4">
        <x:v>0</x:v>
      </x:c>
      <x:c r="G772" s="4">
        <x:v>9149</x:v>
      </x:c>
      <x:c r="H772" s="6">
        <x:v>36.08</x:v>
      </x:c>
      <x:c r="I772" s="16">
        <x:v>1</x:v>
      </x:c>
      <x:c r="J772"/>
      <x:c r="K772" s="4"/>
      <x:c r="L772" s="4"/>
      <x:c r="M772" s="4"/>
      <x:c r="N772" s="5"/>
    </x:row>
    <x:row r="773" ht="24" customHeight="1">
      <x:c r="A773" s="1" t="inlineStr">
        <x:is>
          <x:t xml:space="preserve">RESULT</x:t>
        </x:is>
      </x:c>
      <x:c r="B773" s="1" t="inlineStr">
        <x:is>
          <x:t xml:space="preserve">Round1</x:t>
        </x:is>
      </x:c>
      <x:c r="C773" s="1" t="inlineStr">
        <x:is>
          <x:t xml:space="preserve">Math_84</x:t>
        </x:is>
      </x:c>
      <x:c r="D773" s="1" t="inlineStr">
        <x:is>
          <x:t xml:space="preserve">NOT_AVAILABLE</x:t>
        </x:is>
      </x:c>
      <x:c r="E773" s="5"/>
      <x:c r="F773" s="4">
        <x:v>0</x:v>
      </x:c>
      <x:c r="G773" s="4">
        <x:v>13211</x:v>
      </x:c>
      <x:c r="H773" s="6">
        <x:v>124.31</x:v>
      </x:c>
      <x:c r="I773" s="16">
        <x:v>1</x:v>
      </x:c>
      <x:c r="J773"/>
      <x:c r="K773" s="4"/>
      <x:c r="L773" s="4"/>
      <x:c r="M773" s="4"/>
      <x:c r="N773" s="5"/>
    </x:row>
    <x:row r="774" ht="24" customHeight="1">
      <x:c r="A774" s="1" t="inlineStr">
        <x:is>
          <x:t xml:space="preserve">RESULT</x:t>
        </x:is>
      </x:c>
      <x:c r="B774" s="1" t="inlineStr">
        <x:is>
          <x:t xml:space="preserve">Round1</x:t>
        </x:is>
      </x:c>
      <x:c r="C774" s="1" t="inlineStr">
        <x:is>
          <x:t xml:space="preserve">Math_85</x:t>
        </x:is>
      </x:c>
      <x:c r="D774" s="1" t="inlineStr">
        <x:is>
          <x:t xml:space="preserve">REVEALING</x:t>
        </x:is>
      </x:c>
      <x:c r="E774" s="5">
        <x:v>0.9211</x:v>
      </x:c>
      <x:c r="F774" s="4">
        <x:v>1</x:v>
      </x:c>
      <x:c r="G774" s="4">
        <x:v>9800</x:v>
      </x:c>
      <x:c r="H774" s="6">
        <x:v>55.98</x:v>
      </x:c>
      <x:c r="I774" s="16">
        <x:v>1</x:v>
      </x:c>
      <x:c r="J774">
        <x:v>38</x:v>
      </x:c>
      <x:c r="K774" s="4">
        <x:v>35</x:v>
      </x:c>
      <x:c r="L774" s="4">
        <x:v>22</x:v>
      </x:c>
      <x:c r="M774" s="4">
        <x:v>19</x:v>
      </x:c>
      <x:c r="N774" s="5">
        <x:v>0.8636</x:v>
      </x:c>
    </x:row>
    <x:row r="775" ht="24" customHeight="1">
      <x:c r="A775" s="1" t="inlineStr">
        <x:is>
          <x:t xml:space="preserve">RESULT</x:t>
        </x:is>
      </x:c>
      <x:c r="B775" s="1" t="inlineStr">
        <x:is>
          <x:t xml:space="preserve">Round1</x:t>
        </x:is>
      </x:c>
      <x:c r="C775" s="1" t="inlineStr">
        <x:is>
          <x:t xml:space="preserve">Math_86</x:t>
        </x:is>
      </x:c>
      <x:c r="D775" s="1" t="inlineStr">
        <x:is>
          <x:t xml:space="preserve">NOT_AVAILABLE</x:t>
        </x:is>
      </x:c>
      <x:c r="E775" s="5"/>
      <x:c r="F775" s="4">
        <x:v>0</x:v>
      </x:c>
      <x:c r="G775" s="4">
        <x:v>8446</x:v>
      </x:c>
      <x:c r="H775" s="6">
        <x:v>39.55</x:v>
      </x:c>
      <x:c r="I775" s="16">
        <x:v>1</x:v>
      </x:c>
      <x:c r="J775"/>
      <x:c r="K775" s="4"/>
      <x:c r="L775" s="4"/>
      <x:c r="M775" s="4"/>
      <x:c r="N775" s="5"/>
    </x:row>
    <x:row r="776" ht="24" customHeight="1">
      <x:c r="A776" s="1" t="inlineStr">
        <x:is>
          <x:t xml:space="preserve">RESULT</x:t>
        </x:is>
      </x:c>
      <x:c r="B776" s="1" t="inlineStr">
        <x:is>
          <x:t xml:space="preserve">Round1</x:t>
        </x:is>
      </x:c>
      <x:c r="C776" s="1" t="inlineStr">
        <x:is>
          <x:t xml:space="preserve">Math_87</x:t>
        </x:is>
      </x:c>
      <x:c r="D776" s="1" t="inlineStr">
        <x:is>
          <x:t xml:space="preserve">NOT_REVEALING</x:t>
        </x:is>
      </x:c>
      <x:c r="E776" s="5">
        <x:v>0.0724</x:v>
      </x:c>
      <x:c r="F776" s="4">
        <x:v>0</x:v>
      </x:c>
      <x:c r="G776" s="4">
        <x:v>36437</x:v>
      </x:c>
      <x:c r="H776" s="6">
        <x:v>172.11</x:v>
      </x:c>
      <x:c r="I776" s="16">
        <x:v>1</x:v>
      </x:c>
      <x:c r="J776">
        <x:v>152</x:v>
      </x:c>
      <x:c r="K776" s="4">
        <x:v>11</x:v>
      </x:c>
      <x:c r="L776" s="4">
        <x:v>90</x:v>
      </x:c>
      <x:c r="M776" s="4">
        <x:v>7</x:v>
      </x:c>
      <x:c r="N776" s="5">
        <x:v>0.07780000000000001</x:v>
      </x:c>
    </x:row>
    <x:row r="777" ht="24" customHeight="1">
      <x:c r="A777" s="1" t="inlineStr">
        <x:is>
          <x:t xml:space="preserve">RESULT</x:t>
        </x:is>
      </x:c>
      <x:c r="B777" s="1" t="inlineStr">
        <x:is>
          <x:t xml:space="preserve">Round1</x:t>
        </x:is>
      </x:c>
      <x:c r="C777" s="1" t="inlineStr">
        <x:is>
          <x:t xml:space="preserve">Math_88</x:t>
        </x:is>
      </x:c>
      <x:c r="D777" s="1" t="inlineStr">
        <x:is>
          <x:t xml:space="preserve">NOT_AVAILABLE</x:t>
        </x:is>
      </x:c>
      <x:c r="E777" s="5"/>
      <x:c r="F777" s="4">
        <x:v>0</x:v>
      </x:c>
      <x:c r="G777" s="4">
        <x:v>8606</x:v>
      </x:c>
      <x:c r="H777" s="6">
        <x:v>374.3</x:v>
      </x:c>
      <x:c r="I777" s="16">
        <x:v>1</x:v>
      </x:c>
      <x:c r="J777"/>
      <x:c r="K777" s="4"/>
      <x:c r="L777" s="4"/>
      <x:c r="M777" s="4"/>
      <x:c r="N777" s="5"/>
    </x:row>
    <x:row r="778" ht="24" customHeight="1">
      <x:c r="A778" s="1" t="inlineStr">
        <x:is>
          <x:t xml:space="preserve">RESULT</x:t>
        </x:is>
      </x:c>
      <x:c r="B778" s="1" t="inlineStr">
        <x:is>
          <x:t xml:space="preserve">Round1</x:t>
        </x:is>
      </x:c>
      <x:c r="C778" s="1" t="inlineStr">
        <x:is>
          <x:t xml:space="preserve">Math_89</x:t>
        </x:is>
      </x:c>
      <x:c r="D778" s="1" t="inlineStr">
        <x:is>
          <x:t xml:space="preserve">NOT_REVEALING</x:t>
        </x:is>
      </x:c>
      <x:c r="E778" s="5">
        <x:v>0.8981</x:v>
      </x:c>
      <x:c r="F778" s="4">
        <x:v>0</x:v>
      </x:c>
      <x:c r="G778" s="4">
        <x:v>9670</x:v>
      </x:c>
      <x:c r="H778" s="6">
        <x:v>40.8</x:v>
      </x:c>
      <x:c r="I778" s="16">
        <x:v>1</x:v>
      </x:c>
      <x:c r="J778">
        <x:v>108</x:v>
      </x:c>
      <x:c r="K778" s="4">
        <x:v>97</x:v>
      </x:c>
      <x:c r="L778" s="4">
        <x:v>32</x:v>
      </x:c>
      <x:c r="M778" s="4">
        <x:v>30</x:v>
      </x:c>
      <x:c r="N778" s="5">
        <x:v>0.9375</x:v>
      </x:c>
    </x:row>
    <x:row r="779" ht="24" customHeight="1">
      <x:c r="A779" s="1" t="inlineStr">
        <x:is>
          <x:t xml:space="preserve">RESULT</x:t>
        </x:is>
      </x:c>
      <x:c r="B779" s="1" t="inlineStr">
        <x:is>
          <x:t xml:space="preserve">Round1</x:t>
        </x:is>
      </x:c>
      <x:c r="C779" s="1" t="inlineStr">
        <x:is>
          <x:t xml:space="preserve">Math_9</x:t>
        </x:is>
      </x:c>
      <x:c r="D779" s="1" t="inlineStr">
        <x:is>
          <x:t xml:space="preserve">NOT_AVAILABLE</x:t>
        </x:is>
      </x:c>
      <x:c r="E779" s="5"/>
      <x:c r="F779" s="4">
        <x:v>0</x:v>
      </x:c>
      <x:c r="G779" s="4">
        <x:v>11346</x:v>
      </x:c>
      <x:c r="H779" s="6">
        <x:v>104.47</x:v>
      </x:c>
      <x:c r="I779" s="16">
        <x:v>1</x:v>
      </x:c>
      <x:c r="J779"/>
      <x:c r="K779" s="4"/>
      <x:c r="L779" s="4"/>
      <x:c r="M779" s="4"/>
      <x:c r="N779" s="5"/>
    </x:row>
    <x:row r="780" ht="24" customHeight="1">
      <x:c r="A780" s="1" t="inlineStr">
        <x:is>
          <x:t xml:space="preserve">RESULT</x:t>
        </x:is>
      </x:c>
      <x:c r="B780" s="1" t="inlineStr">
        <x:is>
          <x:t xml:space="preserve">Round1</x:t>
        </x:is>
      </x:c>
      <x:c r="C780" s="1" t="inlineStr">
        <x:is>
          <x:t xml:space="preserve">Math_90</x:t>
        </x:is>
      </x:c>
      <x:c r="D780" s="1" t="inlineStr">
        <x:is>
          <x:t xml:space="preserve">INCONCLUSIVE</x:t>
        </x:is>
      </x:c>
      <x:c r="E780" s="5">
        <x:v>0.8208</x:v>
      </x:c>
      <x:c r="F780" s="4">
        <x:v>0</x:v>
      </x:c>
      <x:c r="G780" s="4">
        <x:v>17675</x:v>
      </x:c>
      <x:c r="H780" s="6">
        <x:v>70.85</x:v>
      </x:c>
      <x:c r="I780" s="16">
        <x:v>1</x:v>
      </x:c>
      <x:c r="J780">
        <x:v>106</x:v>
      </x:c>
      <x:c r="K780" s="4">
        <x:v>87</x:v>
      </x:c>
      <x:c r="L780" s="4">
        <x:v>32</x:v>
      </x:c>
      <x:c r="M780" s="4">
        <x:v>29</x:v>
      </x:c>
      <x:c r="N780" s="5">
        <x:v>0.9062</x:v>
      </x:c>
    </x:row>
    <x:row r="781" ht="24" customHeight="1">
      <x:c r="A781" s="1" t="inlineStr">
        <x:is>
          <x:t xml:space="preserve">RESULT</x:t>
        </x:is>
      </x:c>
      <x:c r="B781" s="1" t="inlineStr">
        <x:is>
          <x:t xml:space="preserve">Round1</x:t>
        </x:is>
      </x:c>
      <x:c r="C781" s="1" t="inlineStr">
        <x:is>
          <x:t xml:space="preserve">Math_91</x:t>
        </x:is>
      </x:c>
      <x:c r="D781" s="1" t="inlineStr">
        <x:is>
          <x:t xml:space="preserve">NOT_REVEALING</x:t>
        </x:is>
      </x:c>
      <x:c r="E781" s="5">
        <x:v>0.9693</x:v>
      </x:c>
      <x:c r="F781" s="4">
        <x:v>0</x:v>
      </x:c>
      <x:c r="G781" s="4">
        <x:v>57173</x:v>
      </x:c>
      <x:c r="H781" s="6">
        <x:v>279.31</x:v>
      </x:c>
      <x:c r="I781" s="16">
        <x:v>1</x:v>
      </x:c>
      <x:c r="J781">
        <x:v>163</x:v>
      </x:c>
      <x:c r="K781" s="4">
        <x:v>158</x:v>
      </x:c>
      <x:c r="L781" s="4">
        <x:v>90</x:v>
      </x:c>
      <x:c r="M781" s="4">
        <x:v>85</x:v>
      </x:c>
      <x:c r="N781" s="5">
        <x:v>0.9444</x:v>
      </x:c>
    </x:row>
    <x:row r="782" ht="24" customHeight="1">
      <x:c r="A782" s="1" t="inlineStr">
        <x:is>
          <x:t xml:space="preserve">RESULT</x:t>
        </x:is>
      </x:c>
      <x:c r="B782" s="1" t="inlineStr">
        <x:is>
          <x:t xml:space="preserve">Round1</x:t>
        </x:is>
      </x:c>
      <x:c r="C782" s="1" t="inlineStr">
        <x:is>
          <x:t xml:space="preserve">Math_92</x:t>
        </x:is>
      </x:c>
      <x:c r="D782" s="1" t="inlineStr">
        <x:is>
          <x:t xml:space="preserve">INCONCLUSIVE</x:t>
        </x:is>
      </x:c>
      <x:c r="E782" s="5">
        <x:v>0.7965000000000001</x:v>
      </x:c>
      <x:c r="F782" s="4">
        <x:v>0</x:v>
      </x:c>
      <x:c r="G782" s="4">
        <x:v>11908</x:v>
      </x:c>
      <x:c r="H782" s="6">
        <x:v>35.16</x:v>
      </x:c>
      <x:c r="I782" s="16">
        <x:v>1</x:v>
      </x:c>
      <x:c r="J782">
        <x:v>231</x:v>
      </x:c>
      <x:c r="K782" s="4">
        <x:v>184</x:v>
      </x:c>
      <x:c r="L782" s="4">
        <x:v>223</x:v>
      </x:c>
      <x:c r="M782" s="4">
        <x:v>181</x:v>
      </x:c>
      <x:c r="N782" s="5">
        <x:v>0.8117</x:v>
      </x:c>
    </x:row>
    <x:row r="783" ht="24" customHeight="1">
      <x:c r="A783" s="1" t="inlineStr">
        <x:is>
          <x:t xml:space="preserve">RESULT</x:t>
        </x:is>
      </x:c>
      <x:c r="B783" s="1" t="inlineStr">
        <x:is>
          <x:t xml:space="preserve">Round1</x:t>
        </x:is>
      </x:c>
      <x:c r="C783" s="1" t="inlineStr">
        <x:is>
          <x:t xml:space="preserve">Math_93</x:t>
        </x:is>
      </x:c>
      <x:c r="D783" s="1" t="inlineStr">
        <x:is>
          <x:t xml:space="preserve">NOT_REVEALING</x:t>
        </x:is>
      </x:c>
      <x:c r="E783" s="5">
        <x:v>0.9336</x:v>
      </x:c>
      <x:c r="F783" s="4">
        <x:v>0</x:v>
      </x:c>
      <x:c r="G783" s="4">
        <x:v>38445</x:v>
      </x:c>
      <x:c r="H783" s="6">
        <x:v>178.93</x:v>
      </x:c>
      <x:c r="I783" s="16">
        <x:v>1</x:v>
      </x:c>
      <x:c r="J783">
        <x:v>226</x:v>
      </x:c>
      <x:c r="K783" s="4">
        <x:v>211</x:v>
      </x:c>
      <x:c r="L783" s="4">
        <x:v>217</x:v>
      </x:c>
      <x:c r="M783" s="4">
        <x:v>202</x:v>
      </x:c>
      <x:c r="N783" s="5">
        <x:v>0.9309000000000001</x:v>
      </x:c>
    </x:row>
    <x:row r="784" ht="24" customHeight="1">
      <x:c r="A784" s="1" t="inlineStr">
        <x:is>
          <x:t xml:space="preserve">RESULT</x:t>
        </x:is>
      </x:c>
      <x:c r="B784" s="1" t="inlineStr">
        <x:is>
          <x:t xml:space="preserve">Round1</x:t>
        </x:is>
      </x:c>
      <x:c r="C784" s="1" t="inlineStr">
        <x:is>
          <x:t xml:space="preserve">Math_94</x:t>
        </x:is>
      </x:c>
      <x:c r="D784" s="1" t="inlineStr">
        <x:is>
          <x:t xml:space="preserve">NOT_REVEALING</x:t>
        </x:is>
      </x:c>
      <x:c r="E784" s="5">
        <x:v>0.8</x:v>
      </x:c>
      <x:c r="F784" s="4">
        <x:v>0</x:v>
      </x:c>
      <x:c r="G784" s="4">
        <x:v>19295</x:v>
      </x:c>
      <x:c r="H784" s="6">
        <x:v>73.77</x:v>
      </x:c>
      <x:c r="I784" s="16">
        <x:v>1</x:v>
      </x:c>
      <x:c r="J784">
        <x:v>225</x:v>
      </x:c>
      <x:c r="K784" s="4">
        <x:v>180</x:v>
      </x:c>
      <x:c r="L784" s="4">
        <x:v>215</x:v>
      </x:c>
      <x:c r="M784" s="4">
        <x:v>175</x:v>
      </x:c>
      <x:c r="N784" s="5">
        <x:v>0.8140000000000001</x:v>
      </x:c>
    </x:row>
    <x:row r="785" ht="24" customHeight="1">
      <x:c r="A785" s="1" t="inlineStr">
        <x:is>
          <x:t xml:space="preserve">RESULT</x:t>
        </x:is>
      </x:c>
      <x:c r="B785" s="1" t="inlineStr">
        <x:is>
          <x:t xml:space="preserve">Round1</x:t>
        </x:is>
      </x:c>
      <x:c r="C785" s="1" t="inlineStr">
        <x:is>
          <x:t xml:space="preserve">Math_95</x:t>
        </x:is>
      </x:c>
      <x:c r="D785" s="1" t="inlineStr">
        <x:is>
          <x:t xml:space="preserve">NOT_REVEALING</x:t>
        </x:is>
      </x:c>
      <x:c r="E785" s="5">
        <x:v>1.0</x:v>
      </x:c>
      <x:c r="F785" s="4">
        <x:v>0</x:v>
      </x:c>
      <x:c r="G785" s="4">
        <x:v>14726</x:v>
      </x:c>
      <x:c r="H785" s="6">
        <x:v>77.28</x:v>
      </x:c>
      <x:c r="I785" s="16">
        <x:v>1</x:v>
      </x:c>
      <x:c r="J785">
        <x:v>30</x:v>
      </x:c>
      <x:c r="K785" s="4">
        <x:v>30</x:v>
      </x:c>
      <x:c r="L785" s="4">
        <x:v>10</x:v>
      </x:c>
      <x:c r="M785" s="4">
        <x:v>10</x:v>
      </x:c>
      <x:c r="N785" s="5">
        <x:v>1.0</x:v>
      </x:c>
    </x:row>
    <x:row r="786" ht="24" customHeight="1">
      <x:c r="A786" s="1" t="inlineStr">
        <x:is>
          <x:t xml:space="preserve">RESULT</x:t>
        </x:is>
      </x:c>
      <x:c r="B786" s="1" t="inlineStr">
        <x:is>
          <x:t xml:space="preserve">Round1</x:t>
        </x:is>
      </x:c>
      <x:c r="C786" s="1" t="inlineStr">
        <x:is>
          <x:t xml:space="preserve">Math_96</x:t>
        </x:is>
      </x:c>
      <x:c r="D786" s="1" t="inlineStr">
        <x:is>
          <x:t xml:space="preserve">INCONCLUSIVE</x:t>
        </x:is>
      </x:c>
      <x:c r="E786" s="5">
        <x:v>0.9789</x:v>
      </x:c>
      <x:c r="F786" s="4">
        <x:v>0</x:v>
      </x:c>
      <x:c r="G786" s="4">
        <x:v>17203</x:v>
      </x:c>
      <x:c r="H786" s="6">
        <x:v>76.97</x:v>
      </x:c>
      <x:c r="I786" s="16">
        <x:v>1</x:v>
      </x:c>
      <x:c r="J786">
        <x:v>142</x:v>
      </x:c>
      <x:c r="K786" s="4">
        <x:v>139</x:v>
      </x:c>
      <x:c r="L786" s="4">
        <x:v>102</x:v>
      </x:c>
      <x:c r="M786" s="4">
        <x:v>91</x:v>
      </x:c>
      <x:c r="N786" s="5">
        <x:v>0.8922</x:v>
      </x:c>
    </x:row>
    <x:row r="787" ht="24" customHeight="1">
      <x:c r="A787" s="1" t="inlineStr">
        <x:is>
          <x:t xml:space="preserve">RESULT</x:t>
        </x:is>
      </x:c>
      <x:c r="B787" s="1" t="inlineStr">
        <x:is>
          <x:t xml:space="preserve">Round1</x:t>
        </x:is>
      </x:c>
      <x:c r="C787" s="1" t="inlineStr">
        <x:is>
          <x:t xml:space="preserve">Math_97</x:t>
        </x:is>
      </x:c>
      <x:c r="D787" s="1" t="inlineStr">
        <x:is>
          <x:t xml:space="preserve">NOT_REVEALING</x:t>
        </x:is>
      </x:c>
      <x:c r="E787" s="5">
        <x:v>0.9775</x:v>
      </x:c>
      <x:c r="F787" s="4">
        <x:v>0</x:v>
      </x:c>
      <x:c r="G787" s="4">
        <x:v>48482</x:v>
      </x:c>
      <x:c r="H787" s="6">
        <x:v>278.05</x:v>
      </x:c>
      <x:c r="I787" s="16">
        <x:v>1</x:v>
      </x:c>
      <x:c r="J787">
        <x:v>89</x:v>
      </x:c>
      <x:c r="K787" s="4">
        <x:v>87</x:v>
      </x:c>
      <x:c r="L787" s="4">
        <x:v>46</x:v>
      </x:c>
      <x:c r="M787" s="4">
        <x:v>41</x:v>
      </x:c>
      <x:c r="N787" s="5">
        <x:v>0.8913</x:v>
      </x:c>
    </x:row>
    <x:row r="788" ht="24" customHeight="1">
      <x:c r="A788" s="1" t="inlineStr">
        <x:is>
          <x:t xml:space="preserve">RESULT</x:t>
        </x:is>
      </x:c>
      <x:c r="B788" s="1" t="inlineStr">
        <x:is>
          <x:t xml:space="preserve">Round1</x:t>
        </x:is>
      </x:c>
      <x:c r="C788" s="1" t="inlineStr">
        <x:is>
          <x:t xml:space="preserve">Math_98</x:t>
        </x:is>
      </x:c>
      <x:c r="D788" s="1" t="inlineStr">
        <x:is>
          <x:t xml:space="preserve">INCONCLUSIVE</x:t>
        </x:is>
      </x:c>
      <x:c r="E788" s="5">
        <x:v>0.8420000000000001</x:v>
      </x:c>
      <x:c r="F788" s="4">
        <x:v>0</x:v>
      </x:c>
      <x:c r="G788" s="4">
        <x:v>45308</x:v>
      </x:c>
      <x:c r="H788" s="6">
        <x:v>164.77</x:v>
      </x:c>
      <x:c r="I788" s="16">
        <x:v>1</x:v>
      </x:c>
      <x:c r="J788">
        <x:v>918</x:v>
      </x:c>
      <x:c r="K788" s="4">
        <x:v>773</x:v>
      </x:c>
      <x:c r="L788" s="4">
        <x:v>554</x:v>
      </x:c>
      <x:c r="M788" s="4">
        <x:v>440</x:v>
      </x:c>
      <x:c r="N788" s="5">
        <x:v>0.7942</x:v>
      </x:c>
    </x:row>
    <x:row r="789" ht="24" customHeight="1">
      <x:c r="A789" s="1" t="inlineStr">
        <x:is>
          <x:t xml:space="preserve">RESULT</x:t>
        </x:is>
      </x:c>
      <x:c r="B789" s="1" t="inlineStr">
        <x:is>
          <x:t xml:space="preserve">Round1</x:t>
        </x:is>
      </x:c>
      <x:c r="C789" s="1" t="inlineStr">
        <x:is>
          <x:t xml:space="preserve">Math_99</x:t>
        </x:is>
      </x:c>
      <x:c r="D789" s="1" t="inlineStr">
        <x:is>
          <x:t xml:space="preserve">NOT_REVEALING</x:t>
        </x:is>
      </x:c>
      <x:c r="E789" s="5">
        <x:v>0.9257</x:v>
      </x:c>
      <x:c r="F789" s="4">
        <x:v>0</x:v>
      </x:c>
      <x:c r="G789" s="4">
        <x:v>43460</x:v>
      </x:c>
      <x:c r="H789" s="6">
        <x:v>197.95</x:v>
      </x:c>
      <x:c r="I789" s="16">
        <x:v>1</x:v>
      </x:c>
      <x:c r="J789">
        <x:v>269</x:v>
      </x:c>
      <x:c r="K789" s="4">
        <x:v>249</x:v>
      </x:c>
      <x:c r="L789" s="4">
        <x:v>271</x:v>
      </x:c>
      <x:c r="M789" s="4">
        <x:v>245</x:v>
      </x:c>
      <x:c r="N789" s="5">
        <x:v>0.9041</x:v>
      </x:c>
    </x:row>
    <x:row r="790" ht="24" customHeight="1">
      <x:c r="A790" s="1" t="inlineStr">
        <x:is>
          <x:t xml:space="preserve">RESULT</x:t>
        </x:is>
      </x:c>
      <x:c r="B790" s="1" t="inlineStr">
        <x:is>
          <x:t xml:space="preserve">Round1</x:t>
        </x:is>
      </x:c>
      <x:c r="C790" s="1" t="inlineStr">
        <x:is>
          <x:t xml:space="preserve">Mockito_1</x:t>
        </x:is>
      </x:c>
      <x:c r="D790" s="1" t="inlineStr">
        <x:is>
          <x:t xml:space="preserve">NOT_AVAILABLE</x:t>
        </x:is>
      </x:c>
      <x:c r="E790" s="5"/>
      <x:c r="F790" s="4">
        <x:v>0</x:v>
      </x:c>
      <x:c r="G790" s="4">
        <x:v>6588</x:v>
      </x:c>
      <x:c r="H790" s="6">
        <x:v>135.45</x:v>
      </x:c>
      <x:c r="I790" s="16">
        <x:v>1</x:v>
      </x:c>
      <x:c r="J790"/>
      <x:c r="K790" s="4"/>
      <x:c r="L790" s="4"/>
      <x:c r="M790" s="4"/>
      <x:c r="N790" s="5"/>
    </x:row>
    <x:row r="791" ht="24" customHeight="1">
      <x:c r="A791" s="1" t="inlineStr">
        <x:is>
          <x:t xml:space="preserve">RESULT</x:t>
        </x:is>
      </x:c>
      <x:c r="B791" s="1" t="inlineStr">
        <x:is>
          <x:t xml:space="preserve">Round1</x:t>
        </x:is>
      </x:c>
      <x:c r="C791" s="1" t="inlineStr">
        <x:is>
          <x:t xml:space="preserve">Mockito_10</x:t>
        </x:is>
      </x:c>
      <x:c r="D791" s="1" t="inlineStr">
        <x:is>
          <x:t xml:space="preserve">NOT_AVAILABLE</x:t>
        </x:is>
      </x:c>
      <x:c r="E791" s="5"/>
      <x:c r="F791" s="4">
        <x:v>0</x:v>
      </x:c>
      <x:c r="G791" s="4">
        <x:v>5466</x:v>
      </x:c>
      <x:c r="H791" s="6">
        <x:v>91.57</x:v>
      </x:c>
      <x:c r="I791" s="16">
        <x:v>1</x:v>
      </x:c>
      <x:c r="J791"/>
      <x:c r="K791" s="4"/>
      <x:c r="L791" s="4"/>
      <x:c r="M791" s="4"/>
      <x:c r="N791" s="5"/>
    </x:row>
    <x:row r="792" ht="24" customHeight="1">
      <x:c r="A792" s="1" t="inlineStr">
        <x:is>
          <x:t xml:space="preserve">RESULT</x:t>
        </x:is>
      </x:c>
      <x:c r="B792" s="1" t="inlineStr">
        <x:is>
          <x:t xml:space="preserve">Round1</x:t>
        </x:is>
      </x:c>
      <x:c r="C792" s="1" t="inlineStr">
        <x:is>
          <x:t xml:space="preserve">Mockito_11</x:t>
        </x:is>
      </x:c>
      <x:c r="D792" s="1" t="inlineStr">
        <x:is>
          <x:t xml:space="preserve">INCONCLUSIVE</x:t>
        </x:is>
      </x:c>
      <x:c r="E792" s="5">
        <x:v>1.0</x:v>
      </x:c>
      <x:c r="F792" s="4">
        <x:v>0</x:v>
      </x:c>
      <x:c r="G792" s="4">
        <x:v>3344</x:v>
      </x:c>
      <x:c r="H792" s="6">
        <x:v>124.42</x:v>
      </x:c>
      <x:c r="I792" s="16">
        <x:v>1</x:v>
      </x:c>
      <x:c r="J792">
        <x:v>14</x:v>
      </x:c>
      <x:c r="K792" s="4">
        <x:v>14</x:v>
      </x:c>
      <x:c r="L792" s="4">
        <x:v>6</x:v>
      </x:c>
      <x:c r="M792" s="4">
        <x:v>3</x:v>
      </x:c>
      <x:c r="N792" s="5">
        <x:v>0.5</x:v>
      </x:c>
    </x:row>
    <x:row r="793" ht="24" customHeight="1">
      <x:c r="A793" s="1" t="inlineStr">
        <x:is>
          <x:t xml:space="preserve">RESULT</x:t>
        </x:is>
      </x:c>
      <x:c r="B793" s="1" t="inlineStr">
        <x:is>
          <x:t xml:space="preserve">Round1</x:t>
        </x:is>
      </x:c>
      <x:c r="C793" s="1" t="inlineStr">
        <x:is>
          <x:t xml:space="preserve">Mockito_12</x:t>
        </x:is>
      </x:c>
      <x:c r="D793" s="1" t="inlineStr">
        <x:is>
          <x:t xml:space="preserve">INCONCLUSIVE</x:t>
        </x:is>
      </x:c>
      <x:c r="E793" s="5">
        <x:v>1.0</x:v>
      </x:c>
      <x:c r="F793" s="4">
        <x:v>0</x:v>
      </x:c>
      <x:c r="G793" s="4">
        <x:v>2136</x:v>
      </x:c>
      <x:c r="H793" s="6">
        <x:v>25.31</x:v>
      </x:c>
      <x:c r="I793" s="16">
        <x:v>1</x:v>
      </x:c>
      <x:c r="J793">
        <x:v>6</x:v>
      </x:c>
      <x:c r="K793" s="4">
        <x:v>6</x:v>
      </x:c>
      <x:c r="L793" s="4">
        <x:v>4</x:v>
      </x:c>
      <x:c r="M793" s="4">
        <x:v>3</x:v>
      </x:c>
      <x:c r="N793" s="5">
        <x:v>0.75</x:v>
      </x:c>
    </x:row>
    <x:row r="794" ht="24" customHeight="1">
      <x:c r="A794" s="1" t="inlineStr">
        <x:is>
          <x:t xml:space="preserve">RESULT</x:t>
        </x:is>
      </x:c>
      <x:c r="B794" s="1" t="inlineStr">
        <x:is>
          <x:t xml:space="preserve">Round1</x:t>
        </x:is>
      </x:c>
      <x:c r="C794" s="1" t="inlineStr">
        <x:is>
          <x:t xml:space="preserve">Mockito_13</x:t>
        </x:is>
      </x:c>
      <x:c r="D794" s="1" t="inlineStr">
        <x:is>
          <x:t xml:space="preserve">NOT_AVAILABLE</x:t>
        </x:is>
      </x:c>
      <x:c r="E794" s="5"/>
      <x:c r="F794" s="4">
        <x:v>0</x:v>
      </x:c>
      <x:c r="G794" s="4">
        <x:v>4520</x:v>
      </x:c>
      <x:c r="H794" s="6">
        <x:v>71.65</x:v>
      </x:c>
      <x:c r="I794" s="16">
        <x:v>1</x:v>
      </x:c>
      <x:c r="J794"/>
      <x:c r="K794" s="4"/>
      <x:c r="L794" s="4"/>
      <x:c r="M794" s="4"/>
      <x:c r="N794" s="5"/>
    </x:row>
    <x:row r="795" ht="24" customHeight="1">
      <x:c r="A795" s="1" t="inlineStr">
        <x:is>
          <x:t xml:space="preserve">RESULT</x:t>
        </x:is>
      </x:c>
      <x:c r="B795" s="1" t="inlineStr">
        <x:is>
          <x:t xml:space="preserve">Round1</x:t>
        </x:is>
      </x:c>
      <x:c r="C795" s="1" t="inlineStr">
        <x:is>
          <x:t xml:space="preserve">Mockito_14</x:t>
        </x:is>
      </x:c>
      <x:c r="D795" s="1" t="inlineStr">
        <x:is>
          <x:t xml:space="preserve">NOT_AVAILABLE</x:t>
        </x:is>
      </x:c>
      <x:c r="E795" s="5"/>
      <x:c r="F795" s="4">
        <x:v>0</x:v>
      </x:c>
      <x:c r="G795" s="4">
        <x:v>8755</x:v>
      </x:c>
      <x:c r="H795" s="6">
        <x:v>138.52</x:v>
      </x:c>
      <x:c r="I795" s="16">
        <x:v>1</x:v>
      </x:c>
      <x:c r="J795"/>
      <x:c r="K795" s="4"/>
      <x:c r="L795" s="4"/>
      <x:c r="M795" s="4"/>
      <x:c r="N795" s="5"/>
    </x:row>
    <x:row r="796" ht="24" customHeight="1">
      <x:c r="A796" s="1" t="inlineStr">
        <x:is>
          <x:t xml:space="preserve">RESULT</x:t>
        </x:is>
      </x:c>
      <x:c r="B796" s="1" t="inlineStr">
        <x:is>
          <x:t xml:space="preserve">Round1</x:t>
        </x:is>
      </x:c>
      <x:c r="C796" s="1" t="inlineStr">
        <x:is>
          <x:t xml:space="preserve">Mockito_15</x:t>
        </x:is>
      </x:c>
      <x:c r="D796" s="1" t="inlineStr">
        <x:is>
          <x:t xml:space="preserve">NOT_REVEALING</x:t>
        </x:is>
      </x:c>
      <x:c r="E796" s="5">
        <x:v>1.0</x:v>
      </x:c>
      <x:c r="F796" s="4">
        <x:v>0</x:v>
      </x:c>
      <x:c r="G796" s="4">
        <x:v>2832</x:v>
      </x:c>
      <x:c r="H796" s="6">
        <x:v>42.89</x:v>
      </x:c>
      <x:c r="I796" s="16">
        <x:v>1</x:v>
      </x:c>
      <x:c r="J796">
        <x:v>13</x:v>
      </x:c>
      <x:c r="K796" s="4">
        <x:v>13</x:v>
      </x:c>
      <x:c r="L796" s="4">
        <x:v>2</x:v>
      </x:c>
      <x:c r="M796" s="4">
        <x:v>2</x:v>
      </x:c>
      <x:c r="N796" s="5">
        <x:v>1.0</x:v>
      </x:c>
    </x:row>
    <x:row r="797" ht="24" customHeight="1">
      <x:c r="A797" s="1" t="inlineStr">
        <x:is>
          <x:t xml:space="preserve">RESULT</x:t>
        </x:is>
      </x:c>
      <x:c r="B797" s="1" t="inlineStr">
        <x:is>
          <x:t xml:space="preserve">Round1</x:t>
        </x:is>
      </x:c>
      <x:c r="C797" s="1" t="inlineStr">
        <x:is>
          <x:t xml:space="preserve">Mockito_16</x:t>
        </x:is>
      </x:c>
      <x:c r="D797" s="1" t="inlineStr">
        <x:is>
          <x:t xml:space="preserve">NOT_AVAILABLE</x:t>
        </x:is>
      </x:c>
      <x:c r="E797" s="5"/>
      <x:c r="F797" s="4">
        <x:v>0</x:v>
      </x:c>
      <x:c r="G797" s="4">
        <x:v>10076</x:v>
      </x:c>
      <x:c r="H797" s="6">
        <x:v>169.96</x:v>
      </x:c>
      <x:c r="I797" s="16">
        <x:v>1</x:v>
      </x:c>
      <x:c r="J797"/>
      <x:c r="K797" s="4"/>
      <x:c r="L797" s="4"/>
      <x:c r="M797" s="4"/>
      <x:c r="N797" s="5"/>
    </x:row>
    <x:row r="798" ht="24" customHeight="1">
      <x:c r="A798" s="1" t="inlineStr">
        <x:is>
          <x:t xml:space="preserve">RESULT</x:t>
        </x:is>
      </x:c>
      <x:c r="B798" s="1" t="inlineStr">
        <x:is>
          <x:t xml:space="preserve">Round1</x:t>
        </x:is>
      </x:c>
      <x:c r="C798" s="1" t="inlineStr">
        <x:is>
          <x:t xml:space="preserve">Mockito_17</x:t>
        </x:is>
      </x:c>
      <x:c r="D798" s="1" t="inlineStr">
        <x:is>
          <x:t xml:space="preserve">NOT_AVAILABLE</x:t>
        </x:is>
      </x:c>
      <x:c r="E798" s="5"/>
      <x:c r="F798" s="4">
        <x:v>0</x:v>
      </x:c>
      <x:c r="G798" s="4">
        <x:v>7429</x:v>
      </x:c>
      <x:c r="H798" s="6">
        <x:v>117.79</x:v>
      </x:c>
      <x:c r="I798" s="16">
        <x:v>1</x:v>
      </x:c>
      <x:c r="J798"/>
      <x:c r="K798" s="4"/>
      <x:c r="L798" s="4"/>
      <x:c r="M798" s="4"/>
      <x:c r="N798" s="5"/>
    </x:row>
    <x:row r="799" ht="24" customHeight="1">
      <x:c r="A799" s="1" t="inlineStr">
        <x:is>
          <x:t xml:space="preserve">RESULT</x:t>
        </x:is>
      </x:c>
      <x:c r="B799" s="1" t="inlineStr">
        <x:is>
          <x:t xml:space="preserve">Round1</x:t>
        </x:is>
      </x:c>
      <x:c r="C799" s="1" t="inlineStr">
        <x:is>
          <x:t xml:space="preserve">Mockito_18</x:t>
        </x:is>
      </x:c>
      <x:c r="D799" s="1" t="inlineStr">
        <x:is>
          <x:t xml:space="preserve">NOT_AVAILABLE</x:t>
        </x:is>
      </x:c>
      <x:c r="E799" s="5"/>
      <x:c r="F799" s="4">
        <x:v>0</x:v>
      </x:c>
      <x:c r="G799" s="4">
        <x:v>4246</x:v>
      </x:c>
      <x:c r="H799" s="6">
        <x:v>61.5</x:v>
      </x:c>
      <x:c r="I799" s="16">
        <x:v>1</x:v>
      </x:c>
      <x:c r="J799"/>
      <x:c r="K799" s="4"/>
      <x:c r="L799" s="4"/>
      <x:c r="M799" s="4"/>
      <x:c r="N799" s="5"/>
    </x:row>
    <x:row r="800" ht="24" customHeight="1">
      <x:c r="A800" s="1" t="inlineStr">
        <x:is>
          <x:t xml:space="preserve">RESULT</x:t>
        </x:is>
      </x:c>
      <x:c r="B800" s="1" t="inlineStr">
        <x:is>
          <x:t xml:space="preserve">Round1</x:t>
        </x:is>
      </x:c>
      <x:c r="C800" s="1" t="inlineStr">
        <x:is>
          <x:t xml:space="preserve">Mockito_19</x:t>
        </x:is>
      </x:c>
      <x:c r="D800" s="1" t="inlineStr">
        <x:is>
          <x:t xml:space="preserve">NOT_AVAILABLE</x:t>
        </x:is>
      </x:c>
      <x:c r="E800" s="5"/>
      <x:c r="F800" s="4">
        <x:v>0</x:v>
      </x:c>
      <x:c r="G800" s="4">
        <x:v>18897</x:v>
      </x:c>
      <x:c r="H800" s="6">
        <x:v>339.03</x:v>
      </x:c>
      <x:c r="I800" s="16">
        <x:v>1</x:v>
      </x:c>
      <x:c r="J800"/>
      <x:c r="K800" s="4"/>
      <x:c r="L800" s="4"/>
      <x:c r="M800" s="4"/>
      <x:c r="N800" s="5"/>
    </x:row>
    <x:row r="801" ht="24" customHeight="1">
      <x:c r="A801" s="1" t="inlineStr">
        <x:is>
          <x:t xml:space="preserve">RESULT</x:t>
        </x:is>
      </x:c>
      <x:c r="B801" s="1" t="inlineStr">
        <x:is>
          <x:t xml:space="preserve">Round1</x:t>
        </x:is>
      </x:c>
      <x:c r="C801" s="1" t="inlineStr">
        <x:is>
          <x:t xml:space="preserve">Mockito_2</x:t>
        </x:is>
      </x:c>
      <x:c r="D801" s="1" t="inlineStr">
        <x:is>
          <x:t xml:space="preserve">INCONCLUSIVE</x:t>
        </x:is>
      </x:c>
      <x:c r="E801" s="5">
        <x:v>1.0</x:v>
      </x:c>
      <x:c r="F801" s="4">
        <x:v>0</x:v>
      </x:c>
      <x:c r="G801" s="4">
        <x:v>3032</x:v>
      </x:c>
      <x:c r="H801" s="6">
        <x:v>51.9</x:v>
      </x:c>
      <x:c r="I801" s="16">
        <x:v>1</x:v>
      </x:c>
      <x:c r="J801">
        <x:v>9</x:v>
      </x:c>
      <x:c r="K801" s="4">
        <x:v>9</x:v>
      </x:c>
      <x:c r="L801" s="4">
        <x:v>6</x:v>
      </x:c>
      <x:c r="M801" s="4">
        <x:v>3</x:v>
      </x:c>
      <x:c r="N801" s="5">
        <x:v>0.5</x:v>
      </x:c>
    </x:row>
    <x:row r="802" ht="24" customHeight="1">
      <x:c r="A802" s="1" t="inlineStr">
        <x:is>
          <x:t xml:space="preserve">RESULT</x:t>
        </x:is>
      </x:c>
      <x:c r="B802" s="1" t="inlineStr">
        <x:is>
          <x:t xml:space="preserve">Round1</x:t>
        </x:is>
      </x:c>
      <x:c r="C802" s="1" t="inlineStr">
        <x:is>
          <x:t xml:space="preserve">Mockito_20</x:t>
        </x:is>
      </x:c>
      <x:c r="D802" s="1" t="inlineStr">
        <x:is>
          <x:t xml:space="preserve">NOT_AVAILABLE</x:t>
        </x:is>
      </x:c>
      <x:c r="E802" s="5"/>
      <x:c r="F802" s="4">
        <x:v>0</x:v>
      </x:c>
      <x:c r="G802" s="4">
        <x:v>3336</x:v>
      </x:c>
      <x:c r="H802" s="6">
        <x:v>31.31</x:v>
      </x:c>
      <x:c r="I802" s="16">
        <x:v>1</x:v>
      </x:c>
      <x:c r="J802"/>
      <x:c r="K802" s="4"/>
      <x:c r="L802" s="4"/>
      <x:c r="M802" s="4"/>
      <x:c r="N802" s="5"/>
    </x:row>
    <x:row r="803" ht="24" customHeight="1">
      <x:c r="A803" s="1" t="inlineStr">
        <x:is>
          <x:t xml:space="preserve">RESULT</x:t>
        </x:is>
      </x:c>
      <x:c r="B803" s="1" t="inlineStr">
        <x:is>
          <x:t xml:space="preserve">Round1</x:t>
        </x:is>
      </x:c>
      <x:c r="C803" s="1" t="inlineStr">
        <x:is>
          <x:t xml:space="preserve">Mockito_21</x:t>
        </x:is>
      </x:c>
      <x:c r="D803" s="1" t="inlineStr">
        <x:is>
          <x:t xml:space="preserve">INCONCLUSIVE</x:t>
        </x:is>
      </x:c>
      <x:c r="E803" s="5">
        <x:v>1.0</x:v>
      </x:c>
      <x:c r="F803" s="4">
        <x:v>0</x:v>
      </x:c>
      <x:c r="G803" s="4">
        <x:v>2200</x:v>
      </x:c>
      <x:c r="H803" s="6">
        <x:v>20.23</x:v>
      </x:c>
      <x:c r="I803" s="16">
        <x:v>1</x:v>
      </x:c>
      <x:c r="J803">
        <x:v>16</x:v>
      </x:c>
      <x:c r="K803" s="4">
        <x:v>16</x:v>
      </x:c>
      <x:c r="L803" s="4">
        <x:v>2</x:v>
      </x:c>
      <x:c r="M803" s="4">
        <x:v>2</x:v>
      </x:c>
      <x:c r="N803" s="5">
        <x:v>1.0</x:v>
      </x:c>
    </x:row>
    <x:row r="804" ht="24" customHeight="1">
      <x:c r="A804" s="1" t="inlineStr">
        <x:is>
          <x:t xml:space="preserve">RESULT</x:t>
        </x:is>
      </x:c>
      <x:c r="B804" s="1" t="inlineStr">
        <x:is>
          <x:t xml:space="preserve">Round1</x:t>
        </x:is>
      </x:c>
      <x:c r="C804" s="1" t="inlineStr">
        <x:is>
          <x:t xml:space="preserve">Mockito_22</x:t>
        </x:is>
      </x:c>
      <x:c r="D804" s="1" t="inlineStr">
        <x:is>
          <x:t xml:space="preserve">NOT_REVEALING</x:t>
        </x:is>
      </x:c>
      <x:c r="E804" s="5">
        <x:v>0.9231</x:v>
      </x:c>
      <x:c r="F804" s="4">
        <x:v>0</x:v>
      </x:c>
      <x:c r="G804" s="4">
        <x:v>3178</x:v>
      </x:c>
      <x:c r="H804" s="6">
        <x:v>51.99</x:v>
      </x:c>
      <x:c r="I804" s="16">
        <x:v>1</x:v>
      </x:c>
      <x:c r="J804">
        <x:v>13</x:v>
      </x:c>
      <x:c r="K804" s="4">
        <x:v>12</x:v>
      </x:c>
      <x:c r="L804" s="4">
        <x:v>24</x:v>
      </x:c>
      <x:c r="M804" s="4">
        <x:v>24</x:v>
      </x:c>
      <x:c r="N804" s="5">
        <x:v>1.0</x:v>
      </x:c>
    </x:row>
    <x:row r="805" ht="24" customHeight="1">
      <x:c r="A805" s="1" t="inlineStr">
        <x:is>
          <x:t xml:space="preserve">RESULT</x:t>
        </x:is>
      </x:c>
      <x:c r="B805" s="1" t="inlineStr">
        <x:is>
          <x:t xml:space="preserve">Round1</x:t>
        </x:is>
      </x:c>
      <x:c r="C805" s="1" t="inlineStr">
        <x:is>
          <x:t xml:space="preserve">Mockito_23</x:t>
        </x:is>
      </x:c>
      <x:c r="D805" s="1" t="inlineStr">
        <x:is>
          <x:t xml:space="preserve">NOT_AVAILABLE</x:t>
        </x:is>
      </x:c>
      <x:c r="E805" s="5"/>
      <x:c r="F805" s="4">
        <x:v>0</x:v>
      </x:c>
      <x:c r="G805" s="4">
        <x:v>4662</x:v>
      </x:c>
      <x:c r="H805" s="6">
        <x:v>75.63</x:v>
      </x:c>
      <x:c r="I805" s="16">
        <x:v>1</x:v>
      </x:c>
      <x:c r="J805"/>
      <x:c r="K805" s="4"/>
      <x:c r="L805" s="4"/>
      <x:c r="M805" s="4"/>
      <x:c r="N805" s="5"/>
    </x:row>
    <x:row r="806" ht="24" customHeight="1">
      <x:c r="A806" s="1" t="inlineStr">
        <x:is>
          <x:t xml:space="preserve">RESULT</x:t>
        </x:is>
      </x:c>
      <x:c r="B806" s="1" t="inlineStr">
        <x:is>
          <x:t xml:space="preserve">Round1</x:t>
        </x:is>
      </x:c>
      <x:c r="C806" s="1" t="inlineStr">
        <x:is>
          <x:t xml:space="preserve">Mockito_24</x:t>
        </x:is>
      </x:c>
      <x:c r="D806" s="1" t="inlineStr">
        <x:is>
          <x:t xml:space="preserve">NOT_AVAILABLE</x:t>
        </x:is>
      </x:c>
      <x:c r="E806" s="5"/>
      <x:c r="F806" s="4">
        <x:v>0</x:v>
      </x:c>
      <x:c r="G806" s="4">
        <x:v>4787</x:v>
      </x:c>
      <x:c r="H806" s="6">
        <x:v>80.23</x:v>
      </x:c>
      <x:c r="I806" s="16">
        <x:v>1</x:v>
      </x:c>
      <x:c r="J806"/>
      <x:c r="K806" s="4"/>
      <x:c r="L806" s="4"/>
      <x:c r="M806" s="4"/>
      <x:c r="N806" s="5"/>
    </x:row>
    <x:row r="807" ht="24" customHeight="1">
      <x:c r="A807" s="1" t="inlineStr">
        <x:is>
          <x:t xml:space="preserve">RESULT</x:t>
        </x:is>
      </x:c>
      <x:c r="B807" s="1" t="inlineStr">
        <x:is>
          <x:t xml:space="preserve">Round1</x:t>
        </x:is>
      </x:c>
      <x:c r="C807" s="1" t="inlineStr">
        <x:is>
          <x:t xml:space="preserve">Mockito_25</x:t>
        </x:is>
      </x:c>
      <x:c r="D807" s="1" t="inlineStr">
        <x:is>
          <x:t xml:space="preserve">NOT_AVAILABLE</x:t>
        </x:is>
      </x:c>
      <x:c r="E807" s="5"/>
      <x:c r="F807" s="4">
        <x:v>0</x:v>
      </x:c>
      <x:c r="G807" s="4">
        <x:v>5619</x:v>
      </x:c>
      <x:c r="H807" s="6">
        <x:v>117.53</x:v>
      </x:c>
      <x:c r="I807" s="16">
        <x:v>1</x:v>
      </x:c>
      <x:c r="J807"/>
      <x:c r="K807" s="4"/>
      <x:c r="L807" s="4"/>
      <x:c r="M807" s="4"/>
      <x:c r="N807" s="5"/>
    </x:row>
    <x:row r="808" ht="24" customHeight="1">
      <x:c r="A808" s="1" t="inlineStr">
        <x:is>
          <x:t xml:space="preserve">RESULT</x:t>
        </x:is>
      </x:c>
      <x:c r="B808" s="1" t="inlineStr">
        <x:is>
          <x:t xml:space="preserve">Round1</x:t>
        </x:is>
      </x:c>
      <x:c r="C808" s="1" t="inlineStr">
        <x:is>
          <x:t xml:space="preserve">Mockito_26</x:t>
        </x:is>
      </x:c>
      <x:c r="D808" s="1" t="inlineStr">
        <x:is>
          <x:t xml:space="preserve">NOT_AVAILABLE</x:t>
        </x:is>
      </x:c>
      <x:c r="E808" s="5"/>
      <x:c r="F808" s="4">
        <x:v>0</x:v>
      </x:c>
      <x:c r="G808" s="4">
        <x:v>5241</x:v>
      </x:c>
      <x:c r="H808" s="6">
        <x:v>104.42</x:v>
      </x:c>
      <x:c r="I808" s="16">
        <x:v>1</x:v>
      </x:c>
      <x:c r="J808"/>
      <x:c r="K808" s="4"/>
      <x:c r="L808" s="4"/>
      <x:c r="M808" s="4"/>
      <x:c r="N808" s="5"/>
    </x:row>
    <x:row r="809" ht="24" customHeight="1">
      <x:c r="A809" s="1" t="inlineStr">
        <x:is>
          <x:t xml:space="preserve">RESULT</x:t>
        </x:is>
      </x:c>
      <x:c r="B809" s="1" t="inlineStr">
        <x:is>
          <x:t xml:space="preserve">Round1</x:t>
        </x:is>
      </x:c>
      <x:c r="C809" s="1" t="inlineStr">
        <x:is>
          <x:t xml:space="preserve">Mockito_27</x:t>
        </x:is>
      </x:c>
      <x:c r="D809" s="1" t="inlineStr">
        <x:is>
          <x:t xml:space="preserve">NOT_AVAILABLE</x:t>
        </x:is>
      </x:c>
      <x:c r="E809" s="5"/>
      <x:c r="F809" s="4">
        <x:v>0</x:v>
      </x:c>
      <x:c r="G809" s="4">
        <x:v>4140</x:v>
      </x:c>
      <x:c r="H809" s="6">
        <x:v>66.39</x:v>
      </x:c>
      <x:c r="I809" s="16">
        <x:v>1</x:v>
      </x:c>
      <x:c r="J809"/>
      <x:c r="K809" s="4"/>
      <x:c r="L809" s="4"/>
      <x:c r="M809" s="4"/>
      <x:c r="N809" s="5"/>
    </x:row>
    <x:row r="810" ht="24" customHeight="1">
      <x:c r="A810" s="1" t="inlineStr">
        <x:is>
          <x:t xml:space="preserve">RESULT</x:t>
        </x:is>
      </x:c>
      <x:c r="B810" s="1" t="inlineStr">
        <x:is>
          <x:t xml:space="preserve">Round1</x:t>
        </x:is>
      </x:c>
      <x:c r="C810" s="1" t="inlineStr">
        <x:is>
          <x:t xml:space="preserve">Mockito_28</x:t>
        </x:is>
      </x:c>
      <x:c r="D810" s="1" t="inlineStr">
        <x:is>
          <x:t xml:space="preserve">NOT_AVAILABLE</x:t>
        </x:is>
      </x:c>
      <x:c r="E810" s="5"/>
      <x:c r="F810" s="4">
        <x:v>0</x:v>
      </x:c>
      <x:c r="G810" s="4">
        <x:v>4194</x:v>
      </x:c>
      <x:c r="H810" s="6">
        <x:v>65.16</x:v>
      </x:c>
      <x:c r="I810" s="16">
        <x:v>1</x:v>
      </x:c>
      <x:c r="J810"/>
      <x:c r="K810" s="4"/>
      <x:c r="L810" s="4"/>
      <x:c r="M810" s="4"/>
      <x:c r="N810" s="5"/>
    </x:row>
    <x:row r="811" ht="24" customHeight="1">
      <x:c r="A811" s="1" t="inlineStr">
        <x:is>
          <x:t xml:space="preserve">RESULT</x:t>
        </x:is>
      </x:c>
      <x:c r="B811" s="1" t="inlineStr">
        <x:is>
          <x:t xml:space="preserve">Round1</x:t>
        </x:is>
      </x:c>
      <x:c r="C811" s="1" t="inlineStr">
        <x:is>
          <x:t xml:space="preserve">Mockito_29</x:t>
        </x:is>
      </x:c>
      <x:c r="D811" s="1" t="inlineStr">
        <x:is>
          <x:t xml:space="preserve">NOT_AVAILABLE</x:t>
        </x:is>
      </x:c>
      <x:c r="E811" s="5"/>
      <x:c r="F811" s="4">
        <x:v>0</x:v>
      </x:c>
      <x:c r="G811" s="4">
        <x:v>2074</x:v>
      </x:c>
      <x:c r="H811" s="6">
        <x:v>20.7</x:v>
      </x:c>
      <x:c r="I811" s="16">
        <x:v>1</x:v>
      </x:c>
      <x:c r="J811"/>
      <x:c r="K811" s="4"/>
      <x:c r="L811" s="4"/>
      <x:c r="M811" s="4"/>
      <x:c r="N811" s="5"/>
    </x:row>
    <x:row r="812" ht="24" customHeight="1">
      <x:c r="A812" s="1" t="inlineStr">
        <x:is>
          <x:t xml:space="preserve">RESULT</x:t>
        </x:is>
      </x:c>
      <x:c r="B812" s="1" t="inlineStr">
        <x:is>
          <x:t xml:space="preserve">Round1</x:t>
        </x:is>
      </x:c>
      <x:c r="C812" s="1" t="inlineStr">
        <x:is>
          <x:t xml:space="preserve">Mockito_3</x:t>
        </x:is>
      </x:c>
      <x:c r="D812" s="1" t="inlineStr">
        <x:is>
          <x:t xml:space="preserve">NOT_AVAILABLE</x:t>
        </x:is>
      </x:c>
      <x:c r="E812" s="5"/>
      <x:c r="F812" s="4">
        <x:v>0</x:v>
      </x:c>
      <x:c r="G812" s="4">
        <x:v>5688</x:v>
      </x:c>
      <x:c r="H812" s="6">
        <x:v>102.16</x:v>
      </x:c>
      <x:c r="I812" s="16">
        <x:v>1</x:v>
      </x:c>
      <x:c r="J812"/>
      <x:c r="K812" s="4"/>
      <x:c r="L812" s="4"/>
      <x:c r="M812" s="4"/>
      <x:c r="N812" s="5"/>
    </x:row>
    <x:row r="813" ht="24" customHeight="1">
      <x:c r="A813" s="1" t="inlineStr">
        <x:is>
          <x:t xml:space="preserve">RESULT</x:t>
        </x:is>
      </x:c>
      <x:c r="B813" s="1" t="inlineStr">
        <x:is>
          <x:t xml:space="preserve">Round1</x:t>
        </x:is>
      </x:c>
      <x:c r="C813" s="1" t="inlineStr">
        <x:is>
          <x:t xml:space="preserve">Mockito_30</x:t>
        </x:is>
      </x:c>
      <x:c r="D813" s="1" t="inlineStr">
        <x:is>
          <x:t xml:space="preserve">NOT_AVAILABLE</x:t>
        </x:is>
      </x:c>
      <x:c r="E813" s="5"/>
      <x:c r="F813" s="4">
        <x:v>0</x:v>
      </x:c>
      <x:c r="G813" s="4">
        <x:v>13618</x:v>
      </x:c>
      <x:c r="H813" s="6">
        <x:v>171.19</x:v>
      </x:c>
      <x:c r="I813" s="16">
        <x:v>1</x:v>
      </x:c>
      <x:c r="J813"/>
      <x:c r="K813" s="4"/>
      <x:c r="L813" s="4"/>
      <x:c r="M813" s="4"/>
      <x:c r="N813" s="5"/>
    </x:row>
    <x:row r="814" ht="24" customHeight="1">
      <x:c r="A814" s="1" t="inlineStr">
        <x:is>
          <x:t xml:space="preserve">RESULT</x:t>
        </x:is>
      </x:c>
      <x:c r="B814" s="1" t="inlineStr">
        <x:is>
          <x:t xml:space="preserve">Round1</x:t>
        </x:is>
      </x:c>
      <x:c r="C814" s="1" t="inlineStr">
        <x:is>
          <x:t xml:space="preserve">Mockito_31</x:t>
        </x:is>
      </x:c>
      <x:c r="D814" s="1" t="inlineStr">
        <x:is>
          <x:t xml:space="preserve">NOT_AVAILABLE</x:t>
        </x:is>
      </x:c>
      <x:c r="E814" s="5"/>
      <x:c r="F814" s="4">
        <x:v>0</x:v>
      </x:c>
      <x:c r="G814" s="4">
        <x:v>3690</x:v>
      </x:c>
      <x:c r="H814" s="6">
        <x:v>54.57</x:v>
      </x:c>
      <x:c r="I814" s="16">
        <x:v>1</x:v>
      </x:c>
      <x:c r="J814"/>
      <x:c r="K814" s="4"/>
      <x:c r="L814" s="4"/>
      <x:c r="M814" s="4"/>
      <x:c r="N814" s="5"/>
    </x:row>
    <x:row r="815" ht="24" customHeight="1">
      <x:c r="A815" s="1" t="inlineStr">
        <x:is>
          <x:t xml:space="preserve">RESULT</x:t>
        </x:is>
      </x:c>
      <x:c r="B815" s="1" t="inlineStr">
        <x:is>
          <x:t xml:space="preserve">Round1</x:t>
        </x:is>
      </x:c>
      <x:c r="C815" s="1" t="inlineStr">
        <x:is>
          <x:t xml:space="preserve">Mockito_32</x:t>
        </x:is>
      </x:c>
      <x:c r="D815" s="1" t="inlineStr">
        <x:is>
          <x:t xml:space="preserve">NOT_AVAILABLE</x:t>
        </x:is>
      </x:c>
      <x:c r="E815" s="5"/>
      <x:c r="F815" s="4">
        <x:v>0</x:v>
      </x:c>
      <x:c r="G815" s="4">
        <x:v>2918</x:v>
      </x:c>
      <x:c r="H815" s="6">
        <x:v>36.72</x:v>
      </x:c>
      <x:c r="I815" s="16">
        <x:v>1</x:v>
      </x:c>
      <x:c r="J815"/>
      <x:c r="K815" s="4"/>
      <x:c r="L815" s="4"/>
      <x:c r="M815" s="4"/>
      <x:c r="N815" s="5"/>
    </x:row>
    <x:row r="816" ht="24" customHeight="1">
      <x:c r="A816" s="1" t="inlineStr">
        <x:is>
          <x:t xml:space="preserve">RESULT</x:t>
        </x:is>
      </x:c>
      <x:c r="B816" s="1" t="inlineStr">
        <x:is>
          <x:t xml:space="preserve">Round1</x:t>
        </x:is>
      </x:c>
      <x:c r="C816" s="1" t="inlineStr">
        <x:is>
          <x:t xml:space="preserve">Mockito_33</x:t>
        </x:is>
      </x:c>
      <x:c r="D816" s="1" t="inlineStr">
        <x:is>
          <x:t xml:space="preserve">NOT_AVAILABLE</x:t>
        </x:is>
      </x:c>
      <x:c r="E816" s="5"/>
      <x:c r="F816" s="4">
        <x:v>0</x:v>
      </x:c>
      <x:c r="G816" s="4">
        <x:v>11590</x:v>
      </x:c>
      <x:c r="H816" s="6">
        <x:v>277.9</x:v>
      </x:c>
      <x:c r="I816" s="16">
        <x:v>1</x:v>
      </x:c>
      <x:c r="J816"/>
      <x:c r="K816" s="4"/>
      <x:c r="L816" s="4"/>
      <x:c r="M816" s="4"/>
      <x:c r="N816" s="5"/>
    </x:row>
    <x:row r="817" ht="24" customHeight="1">
      <x:c r="A817" s="1" t="inlineStr">
        <x:is>
          <x:t xml:space="preserve">RESULT</x:t>
        </x:is>
      </x:c>
      <x:c r="B817" s="1" t="inlineStr">
        <x:is>
          <x:t xml:space="preserve">Round1</x:t>
        </x:is>
      </x:c>
      <x:c r="C817" s="1" t="inlineStr">
        <x:is>
          <x:t xml:space="preserve">Mockito_34</x:t>
        </x:is>
      </x:c>
      <x:c r="D817" s="1" t="inlineStr">
        <x:is>
          <x:t xml:space="preserve">NOT_AVAILABLE</x:t>
        </x:is>
      </x:c>
      <x:c r="E817" s="5"/>
      <x:c r="F817" s="4">
        <x:v>0</x:v>
      </x:c>
      <x:c r="G817" s="4">
        <x:v>4626</x:v>
      </x:c>
      <x:c r="H817" s="6">
        <x:v>85.83</x:v>
      </x:c>
      <x:c r="I817" s="16">
        <x:v>1</x:v>
      </x:c>
      <x:c r="J817"/>
      <x:c r="K817" s="4"/>
      <x:c r="L817" s="4"/>
      <x:c r="M817" s="4"/>
      <x:c r="N817" s="5"/>
    </x:row>
    <x:row r="818" ht="24" customHeight="1">
      <x:c r="A818" s="1" t="inlineStr">
        <x:is>
          <x:t xml:space="preserve">RESULT</x:t>
        </x:is>
      </x:c>
      <x:c r="B818" s="1" t="inlineStr">
        <x:is>
          <x:t xml:space="preserve">Round1</x:t>
        </x:is>
      </x:c>
      <x:c r="C818" s="1" t="inlineStr">
        <x:is>
          <x:t xml:space="preserve">Mockito_35</x:t>
        </x:is>
      </x:c>
      <x:c r="D818" s="1" t="inlineStr">
        <x:is>
          <x:t xml:space="preserve">NOT_AVAILABLE</x:t>
        </x:is>
      </x:c>
      <x:c r="E818" s="5"/>
      <x:c r="F818" s="4">
        <x:v>0</x:v>
      </x:c>
      <x:c r="G818" s="4">
        <x:v>9319</x:v>
      </x:c>
      <x:c r="H818" s="6">
        <x:v>83.19</x:v>
      </x:c>
      <x:c r="I818" s="16">
        <x:v>1</x:v>
      </x:c>
      <x:c r="J818"/>
      <x:c r="K818" s="4"/>
      <x:c r="L818" s="4"/>
      <x:c r="M818" s="4"/>
      <x:c r="N818" s="5"/>
    </x:row>
    <x:row r="819" ht="24" customHeight="1">
      <x:c r="A819" s="1" t="inlineStr">
        <x:is>
          <x:t xml:space="preserve">RESULT</x:t>
        </x:is>
      </x:c>
      <x:c r="B819" s="1" t="inlineStr">
        <x:is>
          <x:t xml:space="preserve">Round1</x:t>
        </x:is>
      </x:c>
      <x:c r="C819" s="1" t="inlineStr">
        <x:is>
          <x:t xml:space="preserve">Mockito_36</x:t>
        </x:is>
      </x:c>
      <x:c r="D819" s="1" t="inlineStr">
        <x:is>
          <x:t xml:space="preserve">NOT_AVAILABLE</x:t>
        </x:is>
      </x:c>
      <x:c r="E819" s="5"/>
      <x:c r="F819" s="4">
        <x:v>0</x:v>
      </x:c>
      <x:c r="G819" s="4">
        <x:v>5657</x:v>
      </x:c>
      <x:c r="H819" s="6">
        <x:v>95.47</x:v>
      </x:c>
      <x:c r="I819" s="16">
        <x:v>1</x:v>
      </x:c>
      <x:c r="J819"/>
      <x:c r="K819" s="4"/>
      <x:c r="L819" s="4"/>
      <x:c r="M819" s="4"/>
      <x:c r="N819" s="5"/>
    </x:row>
    <x:row r="820" ht="24" customHeight="1">
      <x:c r="A820" s="1" t="inlineStr">
        <x:is>
          <x:t xml:space="preserve">RESULT</x:t>
        </x:is>
      </x:c>
      <x:c r="B820" s="1" t="inlineStr">
        <x:is>
          <x:t xml:space="preserve">Round1</x:t>
        </x:is>
      </x:c>
      <x:c r="C820" s="1" t="inlineStr">
        <x:is>
          <x:t xml:space="preserve">Mockito_37</x:t>
        </x:is>
      </x:c>
      <x:c r="D820" s="1" t="inlineStr">
        <x:is>
          <x:t xml:space="preserve">INCONCLUSIVE</x:t>
        </x:is>
      </x:c>
      <x:c r="E820" s="5">
        <x:v>1.0</x:v>
      </x:c>
      <x:c r="F820" s="4">
        <x:v>0</x:v>
      </x:c>
      <x:c r="G820" s="4">
        <x:v>2879</x:v>
      </x:c>
      <x:c r="H820" s="6">
        <x:v>39.73</x:v>
      </x:c>
      <x:c r="I820" s="16">
        <x:v>1</x:v>
      </x:c>
      <x:c r="J820">
        <x:v>27</x:v>
      </x:c>
      <x:c r="K820" s="4">
        <x:v>27</x:v>
      </x:c>
      <x:c r="L820" s="4">
        <x:v>26</x:v>
      </x:c>
      <x:c r="M820" s="4">
        <x:v>25</x:v>
      </x:c>
      <x:c r="N820" s="5">
        <x:v>0.9615</x:v>
      </x:c>
    </x:row>
    <x:row r="821" ht="24" customHeight="1">
      <x:c r="A821" s="1" t="inlineStr">
        <x:is>
          <x:t xml:space="preserve">RESULT</x:t>
        </x:is>
      </x:c>
      <x:c r="B821" s="1" t="inlineStr">
        <x:is>
          <x:t xml:space="preserve">Round1</x:t>
        </x:is>
      </x:c>
      <x:c r="C821" s="1" t="inlineStr">
        <x:is>
          <x:t xml:space="preserve">Mockito_38</x:t>
        </x:is>
      </x:c>
      <x:c r="D821" s="1" t="inlineStr">
        <x:is>
          <x:t xml:space="preserve">NOT_AVAILABLE</x:t>
        </x:is>
      </x:c>
      <x:c r="E821" s="5"/>
      <x:c r="F821" s="4">
        <x:v>0</x:v>
      </x:c>
      <x:c r="G821" s="4">
        <x:v>3811</x:v>
      </x:c>
      <x:c r="H821" s="6">
        <x:v>66.25</x:v>
      </x:c>
      <x:c r="I821" s="16">
        <x:v>1</x:v>
      </x:c>
      <x:c r="J821"/>
      <x:c r="K821" s="4"/>
      <x:c r="L821" s="4"/>
      <x:c r="M821" s="4"/>
      <x:c r="N821" s="5"/>
    </x:row>
    <x:row r="822" ht="24" customHeight="1">
      <x:c r="A822" s="1" t="inlineStr">
        <x:is>
          <x:t xml:space="preserve">RESULT</x:t>
        </x:is>
      </x:c>
      <x:c r="B822" s="1" t="inlineStr">
        <x:is>
          <x:t xml:space="preserve">Round1</x:t>
        </x:is>
      </x:c>
      <x:c r="C822" s="1" t="inlineStr">
        <x:is>
          <x:t xml:space="preserve">Mockito_4</x:t>
        </x:is>
      </x:c>
      <x:c r="D822" s="1" t="inlineStr">
        <x:is>
          <x:t xml:space="preserve">NOT_AVAILABLE</x:t>
        </x:is>
      </x:c>
      <x:c r="E822" s="5"/>
      <x:c r="F822" s="4">
        <x:v>0</x:v>
      </x:c>
      <x:c r="G822" s="4">
        <x:v>15684</x:v>
      </x:c>
      <x:c r="H822" s="6">
        <x:v>195.15</x:v>
      </x:c>
      <x:c r="I822" s="16">
        <x:v>1</x:v>
      </x:c>
      <x:c r="J822"/>
      <x:c r="K822" s="4"/>
      <x:c r="L822" s="4"/>
      <x:c r="M822" s="4"/>
      <x:c r="N822" s="5"/>
    </x:row>
    <x:row r="823" ht="24" customHeight="1">
      <x:c r="A823" s="1" t="inlineStr">
        <x:is>
          <x:t xml:space="preserve">RESULT</x:t>
        </x:is>
      </x:c>
      <x:c r="B823" s="1" t="inlineStr">
        <x:is>
          <x:t xml:space="preserve">Round1</x:t>
        </x:is>
      </x:c>
      <x:c r="C823" s="1" t="inlineStr">
        <x:is>
          <x:t xml:space="preserve">Mockito_5</x:t>
        </x:is>
      </x:c>
      <x:c r="D823" s="1" t="inlineStr">
        <x:is>
          <x:t xml:space="preserve">NOT_AVAILABLE</x:t>
        </x:is>
      </x:c>
      <x:c r="E823" s="5"/>
      <x:c r="F823" s="4">
        <x:v>0</x:v>
      </x:c>
      <x:c r="G823" s="4">
        <x:v>3771</x:v>
      </x:c>
      <x:c r="H823" s="6">
        <x:v>44.4</x:v>
      </x:c>
      <x:c r="I823" s="16">
        <x:v>1</x:v>
      </x:c>
      <x:c r="J823"/>
      <x:c r="K823" s="4"/>
      <x:c r="L823" s="4"/>
      <x:c r="M823" s="4"/>
      <x:c r="N823" s="5"/>
    </x:row>
    <x:row r="824" ht="24" customHeight="1">
      <x:c r="A824" s="1" t="inlineStr">
        <x:is>
          <x:t xml:space="preserve">RESULT</x:t>
        </x:is>
      </x:c>
      <x:c r="B824" s="1" t="inlineStr">
        <x:is>
          <x:t xml:space="preserve">Round1</x:t>
        </x:is>
      </x:c>
      <x:c r="C824" s="1" t="inlineStr">
        <x:is>
          <x:t xml:space="preserve">Mockito_6</x:t>
        </x:is>
      </x:c>
      <x:c r="D824" s="1" t="inlineStr">
        <x:is>
          <x:t xml:space="preserve">INCONCLUSIVE</x:t>
        </x:is>
      </x:c>
      <x:c r="E824" s="5">
        <x:v>0.9818000000000001</x:v>
      </x:c>
      <x:c r="F824" s="4">
        <x:v>0</x:v>
      </x:c>
      <x:c r="G824" s="4">
        <x:v>5536</x:v>
      </x:c>
      <x:c r="H824" s="6">
        <x:v>87.21</x:v>
      </x:c>
      <x:c r="I824" s="16">
        <x:v>1</x:v>
      </x:c>
      <x:c r="J824">
        <x:v>55</x:v>
      </x:c>
      <x:c r="K824" s="4">
        <x:v>54</x:v>
      </x:c>
      <x:c r="L824" s="4">
        <x:v>0</x:v>
      </x:c>
      <x:c r="M824" s="4">
        <x:v>0</x:v>
      </x:c>
      <x:c r="N824" s="5"/>
    </x:row>
    <x:row r="825" ht="24" customHeight="1">
      <x:c r="A825" s="1" t="inlineStr">
        <x:is>
          <x:t xml:space="preserve">RESULT</x:t>
        </x:is>
      </x:c>
      <x:c r="B825" s="1" t="inlineStr">
        <x:is>
          <x:t xml:space="preserve">Round1</x:t>
        </x:is>
      </x:c>
      <x:c r="C825" s="1" t="inlineStr">
        <x:is>
          <x:t xml:space="preserve">Mockito_7</x:t>
        </x:is>
      </x:c>
      <x:c r="D825" s="1" t="inlineStr">
        <x:is>
          <x:t xml:space="preserve">INCONCLUSIVE</x:t>
        </x:is>
      </x:c>
      <x:c r="E825" s="5">
        <x:v>0.6437</x:v>
      </x:c>
      <x:c r="F825" s="4">
        <x:v>0</x:v>
      </x:c>
      <x:c r="G825" s="4">
        <x:v>8835</x:v>
      </x:c>
      <x:c r="H825" s="6">
        <x:v>74.59</x:v>
      </x:c>
      <x:c r="I825" s="16">
        <x:v>1</x:v>
      </x:c>
      <x:c r="J825">
        <x:v>174</x:v>
      </x:c>
      <x:c r="K825" s="4">
        <x:v>112</x:v>
      </x:c>
      <x:c r="L825" s="4">
        <x:v>82</x:v>
      </x:c>
      <x:c r="M825" s="4">
        <x:v>39</x:v>
      </x:c>
      <x:c r="N825" s="5">
        <x:v>0.4756</x:v>
      </x:c>
    </x:row>
    <x:row r="826" ht="24" customHeight="1">
      <x:c r="A826" s="1" t="inlineStr">
        <x:is>
          <x:t xml:space="preserve">RESULT</x:t>
        </x:is>
      </x:c>
      <x:c r="B826" s="1" t="inlineStr">
        <x:is>
          <x:t xml:space="preserve">Round1</x:t>
        </x:is>
      </x:c>
      <x:c r="C826" s="1" t="inlineStr">
        <x:is>
          <x:t xml:space="preserve">Mockito_8</x:t>
        </x:is>
      </x:c>
      <x:c r="D826" s="1" t="inlineStr">
        <x:is>
          <x:t xml:space="preserve">INCONCLUSIVE</x:t>
        </x:is>
      </x:c>
      <x:c r="E826" s="5">
        <x:v>0.5722999999999999</x:v>
      </x:c>
      <x:c r="F826" s="4">
        <x:v>0</x:v>
      </x:c>
      <x:c r="G826" s="4">
        <x:v>8563</x:v>
      </x:c>
      <x:c r="H826" s="6">
        <x:v>66.56</x:v>
      </x:c>
      <x:c r="I826" s="16">
        <x:v>1</x:v>
      </x:c>
      <x:c r="J826">
        <x:v>173</x:v>
      </x:c>
      <x:c r="K826" s="4">
        <x:v>99</x:v>
      </x:c>
      <x:c r="L826" s="4">
        <x:v>80</x:v>
      </x:c>
      <x:c r="M826" s="4">
        <x:v>37</x:v>
      </x:c>
      <x:c r="N826" s="5">
        <x:v>0.4625</x:v>
      </x:c>
    </x:row>
    <x:row r="827" ht="24" customHeight="1">
      <x:c r="A827" s="1" t="inlineStr">
        <x:is>
          <x:t xml:space="preserve">RESULT</x:t>
        </x:is>
      </x:c>
      <x:c r="B827" s="1" t="inlineStr">
        <x:is>
          <x:t xml:space="preserve">Round1</x:t>
        </x:is>
      </x:c>
      <x:c r="C827" s="1" t="inlineStr">
        <x:is>
          <x:t xml:space="preserve">Mockito_9</x:t>
        </x:is>
      </x:c>
      <x:c r="D827" s="1" t="inlineStr">
        <x:is>
          <x:t xml:space="preserve">INCONCLUSIVE</x:t>
        </x:is>
      </x:c>
      <x:c r="E827" s="5">
        <x:v>1.0</x:v>
      </x:c>
      <x:c r="F827" s="4">
        <x:v>0</x:v>
      </x:c>
      <x:c r="G827" s="4">
        <x:v>2107</x:v>
      </x:c>
      <x:c r="H827" s="6">
        <x:v>16.5</x:v>
      </x:c>
      <x:c r="I827" s="16">
        <x:v>1</x:v>
      </x:c>
      <x:c r="J827">
        <x:v>2</x:v>
      </x:c>
      <x:c r="K827" s="4">
        <x:v>2</x:v>
      </x:c>
      <x:c r="L827" s="4">
        <x:v>0</x:v>
      </x:c>
      <x:c r="M827" s="4">
        <x:v>0</x:v>
      </x:c>
      <x:c r="N827" s="5"/>
    </x:row>
    <x:row r="828" ht="24" customHeight="1">
      <x:c r="A828" s="1" t="inlineStr">
        <x:is>
          <x:t xml:space="preserve">RESULT</x:t>
        </x:is>
      </x:c>
      <x:c r="B828" s="1" t="inlineStr">
        <x:is>
          <x:t xml:space="preserve">Round1</x:t>
        </x:is>
      </x:c>
      <x:c r="C828" s="1" t="inlineStr">
        <x:is>
          <x:t xml:space="preserve">Time_1</x:t>
        </x:is>
      </x:c>
      <x:c r="D828" s="1" t="inlineStr">
        <x:is>
          <x:t xml:space="preserve">NOT_AVAILABLE</x:t>
        </x:is>
      </x:c>
      <x:c r="E828" s="5"/>
      <x:c r="F828" s="4">
        <x:v>0</x:v>
      </x:c>
      <x:c r="G828" s="4">
        <x:v>12206</x:v>
      </x:c>
      <x:c r="H828" s="6">
        <x:v>147.6</x:v>
      </x:c>
      <x:c r="I828" s="16">
        <x:v>1</x:v>
      </x:c>
      <x:c r="J828"/>
      <x:c r="K828" s="4"/>
      <x:c r="L828" s="4"/>
      <x:c r="M828" s="4"/>
      <x:c r="N828" s="5"/>
    </x:row>
    <x:row r="829" ht="24" customHeight="1">
      <x:c r="A829" s="1" t="inlineStr">
        <x:is>
          <x:t xml:space="preserve">RESULT</x:t>
        </x:is>
      </x:c>
      <x:c r="B829" s="1" t="inlineStr">
        <x:is>
          <x:t xml:space="preserve">Round1</x:t>
        </x:is>
      </x:c>
      <x:c r="C829" s="1" t="inlineStr">
        <x:is>
          <x:t xml:space="preserve">Time_10</x:t>
        </x:is>
      </x:c>
      <x:c r="D829" s="1" t="inlineStr">
        <x:is>
          <x:t xml:space="preserve">NOT_AVAILABLE</x:t>
        </x:is>
      </x:c>
      <x:c r="E829" s="5"/>
      <x:c r="F829" s="4">
        <x:v>0</x:v>
      </x:c>
      <x:c r="G829" s="4">
        <x:v>6295</x:v>
      </x:c>
      <x:c r="H829" s="6">
        <x:v>72.39</x:v>
      </x:c>
      <x:c r="I829" s="16">
        <x:v>1</x:v>
      </x:c>
      <x:c r="J829"/>
      <x:c r="K829" s="4"/>
      <x:c r="L829" s="4"/>
      <x:c r="M829" s="4"/>
      <x:c r="N829" s="5"/>
    </x:row>
    <x:row r="830" ht="24" customHeight="1">
      <x:c r="A830" s="1" t="inlineStr">
        <x:is>
          <x:t xml:space="preserve">RESULT</x:t>
        </x:is>
      </x:c>
      <x:c r="B830" s="1" t="inlineStr">
        <x:is>
          <x:t xml:space="preserve">Round1</x:t>
        </x:is>
      </x:c>
      <x:c r="C830" s="1" t="inlineStr">
        <x:is>
          <x:t xml:space="preserve">Time_11</x:t>
        </x:is>
      </x:c>
      <x:c r="D830" s="1" t="inlineStr">
        <x:is>
          <x:t xml:space="preserve">NOT_AVAILABLE</x:t>
        </x:is>
      </x:c>
      <x:c r="E830" s="5"/>
      <x:c r="F830" s="4">
        <x:v>0</x:v>
      </x:c>
      <x:c r="G830" s="4">
        <x:v>9879</x:v>
      </x:c>
      <x:c r="H830" s="6">
        <x:v>98.95</x:v>
      </x:c>
      <x:c r="I830" s="16">
        <x:v>1</x:v>
      </x:c>
      <x:c r="J830"/>
      <x:c r="K830" s="4"/>
      <x:c r="L830" s="4"/>
      <x:c r="M830" s="4"/>
      <x:c r="N830" s="5"/>
    </x:row>
    <x:row r="831" ht="24" customHeight="1">
      <x:c r="A831" s="1" t="inlineStr">
        <x:is>
          <x:t xml:space="preserve">RESULT</x:t>
        </x:is>
      </x:c>
      <x:c r="B831" s="1" t="inlineStr">
        <x:is>
          <x:t xml:space="preserve">Round1</x:t>
        </x:is>
      </x:c>
      <x:c r="C831" s="1" t="inlineStr">
        <x:is>
          <x:t xml:space="preserve">Time_12</x:t>
        </x:is>
      </x:c>
      <x:c r="D831" s="1" t="inlineStr">
        <x:is>
          <x:t xml:space="preserve">NOT_AVAILABLE</x:t>
        </x:is>
      </x:c>
      <x:c r="E831" s="5"/>
      <x:c r="F831" s="4">
        <x:v>0</x:v>
      </x:c>
      <x:c r="G831" s="4">
        <x:v>26068</x:v>
      </x:c>
      <x:c r="H831" s="6">
        <x:v>357.61</x:v>
      </x:c>
      <x:c r="I831" s="16">
        <x:v>1</x:v>
      </x:c>
      <x:c r="J831"/>
      <x:c r="K831" s="4"/>
      <x:c r="L831" s="4"/>
      <x:c r="M831" s="4"/>
      <x:c r="N831" s="5"/>
    </x:row>
    <x:row r="832" ht="24" customHeight="1">
      <x:c r="A832" s="1" t="inlineStr">
        <x:is>
          <x:t xml:space="preserve">RESULT</x:t>
        </x:is>
      </x:c>
      <x:c r="B832" s="1" t="inlineStr">
        <x:is>
          <x:t xml:space="preserve">Round1</x:t>
        </x:is>
      </x:c>
      <x:c r="C832" s="1" t="inlineStr">
        <x:is>
          <x:t xml:space="preserve">Time_13</x:t>
        </x:is>
      </x:c>
      <x:c r="D832" s="1" t="inlineStr">
        <x:is>
          <x:t xml:space="preserve">INCONCLUSIVE</x:t>
        </x:is>
      </x:c>
      <x:c r="E832" s="5">
        <x:v>0.3274</x:v>
      </x:c>
      <x:c r="F832" s="4">
        <x:v>0</x:v>
      </x:c>
      <x:c r="G832" s="4">
        <x:v>12886</x:v>
      </x:c>
      <x:c r="H832" s="6">
        <x:v>58.74</x:v>
      </x:c>
      <x:c r="I832" s="16">
        <x:v>1</x:v>
      </x:c>
      <x:c r="J832">
        <x:v>672</x:v>
      </x:c>
      <x:c r="K832" s="4">
        <x:v>220</x:v>
      </x:c>
      <x:c r="L832" s="4">
        <x:v>452</x:v>
      </x:c>
      <x:c r="M832" s="4">
        <x:v>61</x:v>
      </x:c>
      <x:c r="N832" s="5">
        <x:v>0.135</x:v>
      </x:c>
    </x:row>
    <x:row r="833" ht="24" customHeight="1">
      <x:c r="A833" s="1" t="inlineStr">
        <x:is>
          <x:t xml:space="preserve">RESULT</x:t>
        </x:is>
      </x:c>
      <x:c r="B833" s="1" t="inlineStr">
        <x:is>
          <x:t xml:space="preserve">Round1</x:t>
        </x:is>
      </x:c>
      <x:c r="C833" s="1" t="inlineStr">
        <x:is>
          <x:t xml:space="preserve">Time_14</x:t>
        </x:is>
      </x:c>
      <x:c r="D833" s="1" t="inlineStr">
        <x:is>
          <x:t xml:space="preserve">NOT_AVAILABLE</x:t>
        </x:is>
      </x:c>
      <x:c r="E833" s="5"/>
      <x:c r="F833" s="4">
        <x:v>0</x:v>
      </x:c>
      <x:c r="G833" s="4">
        <x:v>7182</x:v>
      </x:c>
      <x:c r="H833" s="6">
        <x:v>75.3</x:v>
      </x:c>
      <x:c r="I833" s="16">
        <x:v>1</x:v>
      </x:c>
      <x:c r="J833"/>
      <x:c r="K833" s="4"/>
      <x:c r="L833" s="4"/>
      <x:c r="M833" s="4"/>
      <x:c r="N833" s="5"/>
    </x:row>
    <x:row r="834" ht="24" customHeight="1">
      <x:c r="A834" s="1" t="inlineStr">
        <x:is>
          <x:t xml:space="preserve">RESULT</x:t>
        </x:is>
      </x:c>
      <x:c r="B834" s="1" t="inlineStr">
        <x:is>
          <x:t xml:space="preserve">Round1</x:t>
        </x:is>
      </x:c>
      <x:c r="C834" s="1" t="inlineStr">
        <x:is>
          <x:t xml:space="preserve">Time_15</x:t>
        </x:is>
      </x:c>
      <x:c r="D834" s="1" t="inlineStr">
        <x:is>
          <x:t xml:space="preserve">NOT_AVAILABLE</x:t>
        </x:is>
      </x:c>
      <x:c r="E834" s="5"/>
      <x:c r="F834" s="4">
        <x:v>0</x:v>
      </x:c>
      <x:c r="G834" s="4">
        <x:v>8172</x:v>
      </x:c>
      <x:c r="H834" s="6">
        <x:v>123.44</x:v>
      </x:c>
      <x:c r="I834" s="16">
        <x:v>1</x:v>
      </x:c>
      <x:c r="J834"/>
      <x:c r="K834" s="4"/>
      <x:c r="L834" s="4"/>
      <x:c r="M834" s="4"/>
      <x:c r="N834" s="5"/>
    </x:row>
    <x:row r="835" ht="24" customHeight="1">
      <x:c r="A835" s="1" t="inlineStr">
        <x:is>
          <x:t xml:space="preserve">RESULT</x:t>
        </x:is>
      </x:c>
      <x:c r="B835" s="1" t="inlineStr">
        <x:is>
          <x:t xml:space="preserve">Round1</x:t>
        </x:is>
      </x:c>
      <x:c r="C835" s="1" t="inlineStr">
        <x:is>
          <x:t xml:space="preserve">Time_16</x:t>
        </x:is>
      </x:c>
      <x:c r="D835" s="1" t="inlineStr">
        <x:is>
          <x:t xml:space="preserve">NOT_AVAILABLE</x:t>
        </x:is>
      </x:c>
      <x:c r="E835" s="5"/>
      <x:c r="F835" s="4">
        <x:v>0</x:v>
      </x:c>
      <x:c r="G835" s="4">
        <x:v>7303</x:v>
      </x:c>
      <x:c r="H835" s="6">
        <x:v>93.97</x:v>
      </x:c>
      <x:c r="I835" s="16">
        <x:v>1</x:v>
      </x:c>
      <x:c r="J835"/>
      <x:c r="K835" s="4"/>
      <x:c r="L835" s="4"/>
      <x:c r="M835" s="4"/>
      <x:c r="N835" s="5"/>
    </x:row>
    <x:row r="836" ht="24" customHeight="1">
      <x:c r="A836" s="1" t="inlineStr">
        <x:is>
          <x:t xml:space="preserve">RESULT</x:t>
        </x:is>
      </x:c>
      <x:c r="B836" s="1" t="inlineStr">
        <x:is>
          <x:t xml:space="preserve">Round1</x:t>
        </x:is>
      </x:c>
      <x:c r="C836" s="1" t="inlineStr">
        <x:is>
          <x:t xml:space="preserve">Time_17</x:t>
        </x:is>
      </x:c>
      <x:c r="D836" s="1" t="inlineStr">
        <x:is>
          <x:t xml:space="preserve">NOT_AVAILABLE</x:t>
        </x:is>
      </x:c>
      <x:c r="E836" s="5"/>
      <x:c r="F836" s="4">
        <x:v>0</x:v>
      </x:c>
      <x:c r="G836" s="4">
        <x:v>8939</x:v>
      </x:c>
      <x:c r="H836" s="6">
        <x:v>97.31</x:v>
      </x:c>
      <x:c r="I836" s="16">
        <x:v>1</x:v>
      </x:c>
      <x:c r="J836"/>
      <x:c r="K836" s="4"/>
      <x:c r="L836" s="4"/>
      <x:c r="M836" s="4"/>
      <x:c r="N836" s="5"/>
    </x:row>
    <x:row r="837" ht="24" customHeight="1">
      <x:c r="A837" s="1" t="inlineStr">
        <x:is>
          <x:t xml:space="preserve">RESULT</x:t>
        </x:is>
      </x:c>
      <x:c r="B837" s="1" t="inlineStr">
        <x:is>
          <x:t xml:space="preserve">Round1</x:t>
        </x:is>
      </x:c>
      <x:c r="C837" s="1" t="inlineStr">
        <x:is>
          <x:t xml:space="preserve">Time_18</x:t>
        </x:is>
      </x:c>
      <x:c r="D837" s="1" t="inlineStr">
        <x:is>
          <x:t xml:space="preserve">NOT_AVAILABLE</x:t>
        </x:is>
      </x:c>
      <x:c r="E837" s="5"/>
      <x:c r="F837" s="4">
        <x:v>0</x:v>
      </x:c>
      <x:c r="G837" s="4">
        <x:v>9994</x:v>
      </x:c>
      <x:c r="H837" s="6">
        <x:v>65.35</x:v>
      </x:c>
      <x:c r="I837" s="16">
        <x:v>1</x:v>
      </x:c>
      <x:c r="J837"/>
      <x:c r="K837" s="4"/>
      <x:c r="L837" s="4"/>
      <x:c r="M837" s="4"/>
      <x:c r="N837" s="5"/>
    </x:row>
    <x:row r="838" ht="24" customHeight="1">
      <x:c r="A838" s="1" t="inlineStr">
        <x:is>
          <x:t xml:space="preserve">RESULT</x:t>
        </x:is>
      </x:c>
      <x:c r="B838" s="1" t="inlineStr">
        <x:is>
          <x:t xml:space="preserve">Round1</x:t>
        </x:is>
      </x:c>
      <x:c r="C838" s="1" t="inlineStr">
        <x:is>
          <x:t xml:space="preserve">Time_19</x:t>
        </x:is>
      </x:c>
      <x:c r="D838" s="1" t="inlineStr">
        <x:is>
          <x:t xml:space="preserve">NOT_AVAILABLE</x:t>
        </x:is>
      </x:c>
      <x:c r="E838" s="5"/>
      <x:c r="F838" s="4">
        <x:v>0</x:v>
      </x:c>
      <x:c r="G838" s="4">
        <x:v>8259</x:v>
      </x:c>
      <x:c r="H838" s="6">
        <x:v>76.81</x:v>
      </x:c>
      <x:c r="I838" s="16">
        <x:v>1</x:v>
      </x:c>
      <x:c r="J838"/>
      <x:c r="K838" s="4"/>
      <x:c r="L838" s="4"/>
      <x:c r="M838" s="4"/>
      <x:c r="N838" s="5"/>
    </x:row>
    <x:row r="839" ht="24" customHeight="1">
      <x:c r="A839" s="1" t="inlineStr">
        <x:is>
          <x:t xml:space="preserve">RESULT</x:t>
        </x:is>
      </x:c>
      <x:c r="B839" s="1" t="inlineStr">
        <x:is>
          <x:t xml:space="preserve">Round1</x:t>
        </x:is>
      </x:c>
      <x:c r="C839" s="1" t="inlineStr">
        <x:is>
          <x:t xml:space="preserve">Time_2</x:t>
        </x:is>
      </x:c>
      <x:c r="D839" s="1" t="inlineStr">
        <x:is>
          <x:t xml:space="preserve">NOT_AVAILABLE</x:t>
        </x:is>
      </x:c>
      <x:c r="E839" s="5"/>
      <x:c r="F839" s="4">
        <x:v>0</x:v>
      </x:c>
      <x:c r="G839" s="4">
        <x:v>11893</x:v>
      </x:c>
      <x:c r="H839" s="6">
        <x:v>137.14</x:v>
      </x:c>
      <x:c r="I839" s="16">
        <x:v>1</x:v>
      </x:c>
      <x:c r="J839"/>
      <x:c r="K839" s="4"/>
      <x:c r="L839" s="4"/>
      <x:c r="M839" s="4"/>
      <x:c r="N839" s="5"/>
    </x:row>
    <x:row r="840" ht="24" customHeight="1">
      <x:c r="A840" s="1" t="inlineStr">
        <x:is>
          <x:t xml:space="preserve">RESULT</x:t>
        </x:is>
      </x:c>
      <x:c r="B840" s="1" t="inlineStr">
        <x:is>
          <x:t xml:space="preserve">Round1</x:t>
        </x:is>
      </x:c>
      <x:c r="C840" s="1" t="inlineStr">
        <x:is>
          <x:t xml:space="preserve">Time_20</x:t>
        </x:is>
      </x:c>
      <x:c r="D840" s="1" t="inlineStr">
        <x:is>
          <x:t xml:space="preserve">NOT_AVAILABLE</x:t>
        </x:is>
      </x:c>
      <x:c r="E840" s="5"/>
      <x:c r="F840" s="4">
        <x:v>0</x:v>
      </x:c>
      <x:c r="G840" s="4">
        <x:v>18576</x:v>
      </x:c>
      <x:c r="H840" s="6">
        <x:v>85.56</x:v>
      </x:c>
      <x:c r="I840" s="16">
        <x:v>1</x:v>
      </x:c>
      <x:c r="J840"/>
      <x:c r="K840" s="4"/>
      <x:c r="L840" s="4"/>
      <x:c r="M840" s="4"/>
      <x:c r="N840" s="5"/>
    </x:row>
    <x:row r="841" ht="24" customHeight="1">
      <x:c r="A841" s="1" t="inlineStr">
        <x:is>
          <x:t xml:space="preserve">RESULT</x:t>
        </x:is>
      </x:c>
      <x:c r="B841" s="1" t="inlineStr">
        <x:is>
          <x:t xml:space="preserve">Round1</x:t>
        </x:is>
      </x:c>
      <x:c r="C841" s="1" t="inlineStr">
        <x:is>
          <x:t xml:space="preserve">Time_22</x:t>
        </x:is>
      </x:c>
      <x:c r="D841" s="1" t="inlineStr">
        <x:is>
          <x:t xml:space="preserve">NOT_AVAILABLE</x:t>
        </x:is>
      </x:c>
      <x:c r="E841" s="5"/>
      <x:c r="F841" s="4">
        <x:v>0</x:v>
      </x:c>
      <x:c r="G841" s="4">
        <x:v>5841</x:v>
      </x:c>
      <x:c r="H841" s="6">
        <x:v>63.38</x:v>
      </x:c>
      <x:c r="I841" s="16">
        <x:v>1</x:v>
      </x:c>
      <x:c r="J841"/>
      <x:c r="K841" s="4"/>
      <x:c r="L841" s="4"/>
      <x:c r="M841" s="4"/>
      <x:c r="N841" s="5"/>
    </x:row>
    <x:row r="842" ht="24" customHeight="1">
      <x:c r="A842" s="1" t="inlineStr">
        <x:is>
          <x:t xml:space="preserve">RESULT</x:t>
        </x:is>
      </x:c>
      <x:c r="B842" s="1" t="inlineStr">
        <x:is>
          <x:t xml:space="preserve">Round1</x:t>
        </x:is>
      </x:c>
      <x:c r="C842" s="1" t="inlineStr">
        <x:is>
          <x:t xml:space="preserve">Time_23</x:t>
        </x:is>
      </x:c>
      <x:c r="D842" s="1" t="inlineStr">
        <x:is>
          <x:t xml:space="preserve">NOT_AVAILABLE</x:t>
        </x:is>
      </x:c>
      <x:c r="E842" s="5"/>
      <x:c r="F842" s="4">
        <x:v>0</x:v>
      </x:c>
      <x:c r="G842" s="4">
        <x:v>7500</x:v>
      </x:c>
      <x:c r="H842" s="6">
        <x:v>52.39</x:v>
      </x:c>
      <x:c r="I842" s="16">
        <x:v>1</x:v>
      </x:c>
      <x:c r="J842"/>
      <x:c r="K842" s="4"/>
      <x:c r="L842" s="4"/>
      <x:c r="M842" s="4"/>
      <x:c r="N842" s="5"/>
    </x:row>
    <x:row r="843" ht="24" customHeight="1">
      <x:c r="A843" s="1" t="inlineStr">
        <x:is>
          <x:t xml:space="preserve">RESULT</x:t>
        </x:is>
      </x:c>
      <x:c r="B843" s="1" t="inlineStr">
        <x:is>
          <x:t xml:space="preserve">Round1</x:t>
        </x:is>
      </x:c>
      <x:c r="C843" s="1" t="inlineStr">
        <x:is>
          <x:t xml:space="preserve">Time_24</x:t>
        </x:is>
      </x:c>
      <x:c r="D843" s="1" t="inlineStr">
        <x:is>
          <x:t xml:space="preserve">NOT_AVAILABLE</x:t>
        </x:is>
      </x:c>
      <x:c r="E843" s="5"/>
      <x:c r="F843" s="4">
        <x:v>0</x:v>
      </x:c>
      <x:c r="G843" s="4">
        <x:v>8886</x:v>
      </x:c>
      <x:c r="H843" s="6">
        <x:v>109.49</x:v>
      </x:c>
      <x:c r="I843" s="16">
        <x:v>1</x:v>
      </x:c>
      <x:c r="J843"/>
      <x:c r="K843" s="4"/>
      <x:c r="L843" s="4"/>
      <x:c r="M843" s="4"/>
      <x:c r="N843" s="5"/>
    </x:row>
    <x:row r="844" ht="24" customHeight="1">
      <x:c r="A844" s="1" t="inlineStr">
        <x:is>
          <x:t xml:space="preserve">RESULT</x:t>
        </x:is>
      </x:c>
      <x:c r="B844" s="1" t="inlineStr">
        <x:is>
          <x:t xml:space="preserve">Round1</x:t>
        </x:is>
      </x:c>
      <x:c r="C844" s="1" t="inlineStr">
        <x:is>
          <x:t xml:space="preserve">Time_25</x:t>
        </x:is>
      </x:c>
      <x:c r="D844" s="1" t="inlineStr">
        <x:is>
          <x:t xml:space="preserve">INCONCLUSIVE</x:t>
        </x:is>
      </x:c>
      <x:c r="E844" s="5">
        <x:v>0.6799</x:v>
      </x:c>
      <x:c r="F844" s="4">
        <x:v>0</x:v>
      </x:c>
      <x:c r="G844" s="4">
        <x:v>8072</x:v>
      </x:c>
      <x:c r="H844" s="6">
        <x:v>81.59</x:v>
      </x:c>
      <x:c r="I844" s="16">
        <x:v>1</x:v>
      </x:c>
      <x:c r="J844">
        <x:v>328</x:v>
      </x:c>
      <x:c r="K844" s="4">
        <x:v>223</x:v>
      </x:c>
      <x:c r="L844" s="4">
        <x:v>152</x:v>
      </x:c>
      <x:c r="M844" s="4">
        <x:v>81</x:v>
      </x:c>
      <x:c r="N844" s="5">
        <x:v>0.5329</x:v>
      </x:c>
    </x:row>
    <x:row r="845" ht="24" customHeight="1">
      <x:c r="A845" s="1" t="inlineStr">
        <x:is>
          <x:t xml:space="preserve">RESULT</x:t>
        </x:is>
      </x:c>
      <x:c r="B845" s="1" t="inlineStr">
        <x:is>
          <x:t xml:space="preserve">Round1</x:t>
        </x:is>
      </x:c>
      <x:c r="C845" s="1" t="inlineStr">
        <x:is>
          <x:t xml:space="preserve">Time_26</x:t>
        </x:is>
      </x:c>
      <x:c r="D845" s="1" t="inlineStr">
        <x:is>
          <x:t xml:space="preserve">NOT_AVAILABLE</x:t>
        </x:is>
      </x:c>
      <x:c r="E845" s="5"/>
      <x:c r="F845" s="4">
        <x:v>0</x:v>
      </x:c>
      <x:c r="G845" s="4">
        <x:v>20003</x:v>
      </x:c>
      <x:c r="H845" s="6">
        <x:v>208.89</x:v>
      </x:c>
      <x:c r="I845" s="16">
        <x:v>1</x:v>
      </x:c>
      <x:c r="J845"/>
      <x:c r="K845" s="4"/>
      <x:c r="L845" s="4"/>
      <x:c r="M845" s="4"/>
      <x:c r="N845" s="5"/>
    </x:row>
    <x:row r="846" ht="24" customHeight="1">
      <x:c r="A846" s="1" t="inlineStr">
        <x:is>
          <x:t xml:space="preserve">RESULT</x:t>
        </x:is>
      </x:c>
      <x:c r="B846" s="1" t="inlineStr">
        <x:is>
          <x:t xml:space="preserve">Round1</x:t>
        </x:is>
      </x:c>
      <x:c r="C846" s="1" t="inlineStr">
        <x:is>
          <x:t xml:space="preserve">Time_27</x:t>
        </x:is>
      </x:c>
      <x:c r="D846" s="1" t="inlineStr">
        <x:is>
          <x:t xml:space="preserve">INCONCLUSIVE</x:t>
        </x:is>
      </x:c>
      <x:c r="E846" s="5">
        <x:v>0.3507</x:v>
      </x:c>
      <x:c r="F846" s="4">
        <x:v>0</x:v>
      </x:c>
      <x:c r="G846" s="4">
        <x:v>13340</x:v>
      </x:c>
      <x:c r="H846" s="6">
        <x:v>25.98</x:v>
      </x:c>
      <x:c r="I846" s="16">
        <x:v>1</x:v>
      </x:c>
      <x:c r="J846">
        <x:v>670</x:v>
      </x:c>
      <x:c r="K846" s="4">
        <x:v>235</x:v>
      </x:c>
      <x:c r="L846" s="4">
        <x:v>446</x:v>
      </x:c>
      <x:c r="M846" s="4">
        <x:v>88</x:v>
      </x:c>
      <x:c r="N846" s="5">
        <x:v>0.1973</x:v>
      </x:c>
    </x:row>
    <x:row r="847" ht="24" customHeight="1">
      <x:c r="A847" s="1" t="inlineStr">
        <x:is>
          <x:t xml:space="preserve">RESULT</x:t>
        </x:is>
      </x:c>
      <x:c r="B847" s="1" t="inlineStr">
        <x:is>
          <x:t xml:space="preserve">Round1</x:t>
        </x:is>
      </x:c>
      <x:c r="C847" s="1" t="inlineStr">
        <x:is>
          <x:t xml:space="preserve">Time_3</x:t>
        </x:is>
      </x:c>
      <x:c r="D847" s="1" t="inlineStr">
        <x:is>
          <x:t xml:space="preserve">NOT_AVAILABLE</x:t>
        </x:is>
      </x:c>
      <x:c r="E847" s="5"/>
      <x:c r="F847" s="4">
        <x:v>0</x:v>
      </x:c>
      <x:c r="G847" s="4">
        <x:v>39206</x:v>
      </x:c>
      <x:c r="H847" s="6">
        <x:v>1344.56</x:v>
      </x:c>
      <x:c r="I847" s="16">
        <x:v>1</x:v>
      </x:c>
      <x:c r="J847"/>
      <x:c r="K847" s="4"/>
      <x:c r="L847" s="4"/>
      <x:c r="M847" s="4"/>
      <x:c r="N847" s="5"/>
    </x:row>
    <x:row r="848" ht="24" customHeight="1">
      <x:c r="A848" s="1" t="inlineStr">
        <x:is>
          <x:t xml:space="preserve">RESULT</x:t>
        </x:is>
      </x:c>
      <x:c r="B848" s="1" t="inlineStr">
        <x:is>
          <x:t xml:space="preserve">Round1</x:t>
        </x:is>
      </x:c>
      <x:c r="C848" s="1" t="inlineStr">
        <x:is>
          <x:t xml:space="preserve">Time_4</x:t>
        </x:is>
      </x:c>
      <x:c r="D848" s="1" t="inlineStr">
        <x:is>
          <x:t xml:space="preserve">NOT_REVEALING</x:t>
        </x:is>
      </x:c>
      <x:c r="E848" s="5">
        <x:v>0.8498</x:v>
      </x:c>
      <x:c r="F848" s="4">
        <x:v>0</x:v>
      </x:c>
      <x:c r="G848" s="4">
        <x:v>31951</x:v>
      </x:c>
      <x:c r="H848" s="6">
        <x:v>1114.19</x:v>
      </x:c>
      <x:c r="I848" s="16">
        <x:v>1</x:v>
      </x:c>
      <x:c r="J848">
        <x:v>253</x:v>
      </x:c>
      <x:c r="K848" s="4">
        <x:v>215</x:v>
      </x:c>
      <x:c r="L848" s="4">
        <x:v>106</x:v>
      </x:c>
      <x:c r="M848" s="4">
        <x:v>74</x:v>
      </x:c>
      <x:c r="N848" s="5">
        <x:v>0.6981</x:v>
      </x:c>
    </x:row>
    <x:row r="849" ht="24" customHeight="1">
      <x:c r="A849" s="1" t="inlineStr">
        <x:is>
          <x:t xml:space="preserve">RESULT</x:t>
        </x:is>
      </x:c>
      <x:c r="B849" s="1" t="inlineStr">
        <x:is>
          <x:t xml:space="preserve">Round1</x:t>
        </x:is>
      </x:c>
      <x:c r="C849" s="1" t="inlineStr">
        <x:is>
          <x:t xml:space="preserve">Time_5</x:t>
        </x:is>
      </x:c>
      <x:c r="D849" s="1" t="inlineStr">
        <x:is>
          <x:t xml:space="preserve">NOT_AVAILABLE</x:t>
        </x:is>
      </x:c>
      <x:c r="E849" s="5"/>
      <x:c r="F849" s="4">
        <x:v>0</x:v>
      </x:c>
      <x:c r="G849" s="4">
        <x:v>10096</x:v>
      </x:c>
      <x:c r="H849" s="6">
        <x:v>30.4</x:v>
      </x:c>
      <x:c r="I849" s="16">
        <x:v>1</x:v>
      </x:c>
      <x:c r="J849"/>
      <x:c r="K849" s="4"/>
      <x:c r="L849" s="4"/>
      <x:c r="M849" s="4"/>
      <x:c r="N849" s="5"/>
    </x:row>
    <x:row r="850" ht="24" customHeight="1">
      <x:c r="A850" s="1" t="inlineStr">
        <x:is>
          <x:t xml:space="preserve">RESULT</x:t>
        </x:is>
      </x:c>
      <x:c r="B850" s="1" t="inlineStr">
        <x:is>
          <x:t xml:space="preserve">Round1</x:t>
        </x:is>
      </x:c>
      <x:c r="C850" s="1" t="inlineStr">
        <x:is>
          <x:t xml:space="preserve">Time_6</x:t>
        </x:is>
      </x:c>
      <x:c r="D850" s="1" t="inlineStr">
        <x:is>
          <x:t xml:space="preserve">NOT_REVEALING</x:t>
        </x:is>
      </x:c>
      <x:c r="E850" s="5">
        <x:v>0.5069</x:v>
      </x:c>
      <x:c r="F850" s="4">
        <x:v>0</x:v>
      </x:c>
      <x:c r="G850" s="4">
        <x:v>12282</x:v>
      </x:c>
      <x:c r="H850" s="6">
        <x:v>36.35</x:v>
      </x:c>
      <x:c r="I850" s="16">
        <x:v>1</x:v>
      </x:c>
      <x:c r="J850">
        <x:v>361</x:v>
      </x:c>
      <x:c r="K850" s="4">
        <x:v>183</x:v>
      </x:c>
      <x:c r="L850" s="4">
        <x:v>168</x:v>
      </x:c>
      <x:c r="M850" s="4">
        <x:v>46</x:v>
      </x:c>
      <x:c r="N850" s="5">
        <x:v>0.2738</x:v>
      </x:c>
    </x:row>
    <x:row r="851" ht="24" customHeight="1">
      <x:c r="A851" s="1" t="inlineStr">
        <x:is>
          <x:t xml:space="preserve">RESULT</x:t>
        </x:is>
      </x:c>
      <x:c r="B851" s="1" t="inlineStr">
        <x:is>
          <x:t xml:space="preserve">Round1</x:t>
        </x:is>
      </x:c>
      <x:c r="C851" s="1" t="inlineStr">
        <x:is>
          <x:t xml:space="preserve">Time_7</x:t>
        </x:is>
      </x:c>
      <x:c r="D851" s="1" t="inlineStr">
        <x:is>
          <x:t xml:space="preserve">NOT_AVAILABLE</x:t>
        </x:is>
      </x:c>
      <x:c r="E851" s="5"/>
      <x:c r="F851" s="4">
        <x:v>0</x:v>
      </x:c>
      <x:c r="G851" s="4">
        <x:v>9841</x:v>
      </x:c>
      <x:c r="H851" s="6">
        <x:v>77.89</x:v>
      </x:c>
      <x:c r="I851" s="16">
        <x:v>1</x:v>
      </x:c>
      <x:c r="J851"/>
      <x:c r="K851" s="4"/>
      <x:c r="L851" s="4"/>
      <x:c r="M851" s="4"/>
      <x:c r="N851" s="5"/>
    </x:row>
    <x:row r="852" ht="24" customHeight="1">
      <x:c r="A852" s="1" t="inlineStr">
        <x:is>
          <x:t xml:space="preserve">RESULT</x:t>
        </x:is>
      </x:c>
      <x:c r="B852" s="1" t="inlineStr">
        <x:is>
          <x:t xml:space="preserve">Round1</x:t>
        </x:is>
      </x:c>
      <x:c r="C852" s="1" t="inlineStr">
        <x:is>
          <x:t xml:space="preserve">Time_8</x:t>
        </x:is>
      </x:c>
      <x:c r="D852" s="1" t="inlineStr">
        <x:is>
          <x:t xml:space="preserve">NOT_REVEALING</x:t>
        </x:is>
      </x:c>
      <x:c r="E852" s="5">
        <x:v>0.6535</x:v>
      </x:c>
      <x:c r="F852" s="4">
        <x:v>0</x:v>
      </x:c>
      <x:c r="G852" s="4">
        <x:v>16573</x:v>
      </x:c>
      <x:c r="H852" s="6">
        <x:v>125.27</x:v>
      </x:c>
      <x:c r="I852" s="16">
        <x:v>1</x:v>
      </x:c>
      <x:c r="J852">
        <x:v>355</x:v>
      </x:c>
      <x:c r="K852" s="4">
        <x:v>232</x:v>
      </x:c>
      <x:c r="L852" s="4">
        <x:v>178</x:v>
      </x:c>
      <x:c r="M852" s="4">
        <x:v>91</x:v>
      </x:c>
      <x:c r="N852" s="5">
        <x:v>0.5112</x:v>
      </x:c>
    </x:row>
    <x:row r="853" ht="24" customHeight="1">
      <x:c r="A853" s="1" t="inlineStr">
        <x:is>
          <x:t xml:space="preserve">RESULT</x:t>
        </x:is>
      </x:c>
      <x:c r="B853" s="1" t="inlineStr">
        <x:is>
          <x:t xml:space="preserve">Round1</x:t>
        </x:is>
      </x:c>
      <x:c r="C853" s="1" t="inlineStr">
        <x:is>
          <x:t xml:space="preserve">Time_9</x:t>
        </x:is>
      </x:c>
      <x:c r="D853" s="1" t="inlineStr">
        <x:is>
          <x:t xml:space="preserve">NOT_AVAILABLE</x:t>
        </x:is>
      </x:c>
      <x:c r="E853" s="5"/>
      <x:c r="F853" s="4">
        <x:v>0</x:v>
      </x:c>
      <x:c r="G853" s="4">
        <x:v>11786</x:v>
      </x:c>
      <x:c r="H853" s="6">
        <x:v>50.08</x:v>
      </x:c>
      <x:c r="I853" s="16">
        <x:v>1</x:v>
      </x:c>
      <x:c r="J853"/>
      <x:c r="K853" s="4"/>
      <x:c r="L853" s="4"/>
      <x:c r="M853" s="4"/>
      <x:c r="N853" s="5"/>
    </x:row>
    <x:row r="854" ht="24" customHeight="1">
      <x:c r="A854" s="1" t="inlineStr">
        <x:is>
          <x:t xml:space="preserve">RESULT</x:t>
        </x:is>
      </x:c>
      <x:c r="B854" s="1" t="inlineStr">
        <x:is>
          <x:t xml:space="preserve">Round2</x:t>
        </x:is>
      </x:c>
      <x:c r="C854" s="1" t="inlineStr">
        <x:is>
          <x:t xml:space="preserve">Chart_1</x:t>
        </x:is>
      </x:c>
      <x:c r="D854" s="1" t="inlineStr">
        <x:is>
          <x:t xml:space="preserve">NOT_AVAILABLE</x:t>
        </x:is>
      </x:c>
      <x:c r="E854" s="5"/>
      <x:c r="F854" s="4">
        <x:v>0</x:v>
      </x:c>
      <x:c r="G854" s="4">
        <x:v>15417</x:v>
      </x:c>
      <x:c r="H854" s="6">
        <x:v>128.58</x:v>
      </x:c>
      <x:c r="I854" s="16">
        <x:v>1</x:v>
      </x:c>
      <x:c r="J854"/>
      <x:c r="K854" s="4"/>
      <x:c r="L854" s="4"/>
      <x:c r="M854" s="4"/>
      <x:c r="N854" s="5"/>
    </x:row>
    <x:row r="855" ht="24" customHeight="1">
      <x:c r="A855" s="1" t="inlineStr">
        <x:is>
          <x:t xml:space="preserve">RESULT</x:t>
        </x:is>
      </x:c>
      <x:c r="B855" s="1" t="inlineStr">
        <x:is>
          <x:t xml:space="preserve">Round2</x:t>
        </x:is>
      </x:c>
      <x:c r="C855" s="1" t="inlineStr">
        <x:is>
          <x:t xml:space="preserve">Chart_10</x:t>
        </x:is>
      </x:c>
      <x:c r="D855" s="1" t="inlineStr">
        <x:is>
          <x:t xml:space="preserve">INCONCLUSIVE</x:t>
        </x:is>
      </x:c>
      <x:c r="E855" s="5">
        <x:v>1.0</x:v>
      </x:c>
      <x:c r="F855" s="4">
        <x:v>0</x:v>
      </x:c>
      <x:c r="G855" s="4"/>
      <x:c r="H855" s="6"/>
      <x:c r="I855" s="16">
        <x:v>1</x:v>
      </x:c>
      <x:c r="J855">
        <x:v>3</x:v>
      </x:c>
      <x:c r="K855" s="4">
        <x:v>3</x:v>
      </x:c>
      <x:c r="L855" s="4">
        <x:v>0</x:v>
      </x:c>
      <x:c r="M855" s="4">
        <x:v>0</x:v>
      </x:c>
      <x:c r="N855" s="5"/>
    </x:row>
    <x:row r="856" ht="24" customHeight="1">
      <x:c r="A856" s="1" t="inlineStr">
        <x:is>
          <x:t xml:space="preserve">RESULT</x:t>
        </x:is>
      </x:c>
      <x:c r="B856" s="1" t="inlineStr">
        <x:is>
          <x:t xml:space="preserve">Round2</x:t>
        </x:is>
      </x:c>
      <x:c r="C856" s="1" t="inlineStr">
        <x:is>
          <x:t xml:space="preserve">Chart_11</x:t>
        </x:is>
      </x:c>
      <x:c r="D856" s="1" t="inlineStr">
        <x:is>
          <x:t xml:space="preserve">NOT_AVAILABLE</x:t>
        </x:is>
      </x:c>
      <x:c r="E856" s="5"/>
      <x:c r="F856" s="4">
        <x:v>0</x:v>
      </x:c>
      <x:c r="G856" s="4">
        <x:v>32931</x:v>
      </x:c>
      <x:c r="H856" s="6">
        <x:v>647.68</x:v>
      </x:c>
      <x:c r="I856" s="16">
        <x:v>1</x:v>
      </x:c>
      <x:c r="J856"/>
      <x:c r="K856" s="4"/>
      <x:c r="L856" s="4"/>
      <x:c r="M856" s="4"/>
      <x:c r="N856" s="5"/>
    </x:row>
    <x:row r="857" ht="24" customHeight="1">
      <x:c r="A857" s="1" t="inlineStr">
        <x:is>
          <x:t xml:space="preserve">RESULT</x:t>
        </x:is>
      </x:c>
      <x:c r="B857" s="1" t="inlineStr">
        <x:is>
          <x:t xml:space="preserve">Round2</x:t>
        </x:is>
      </x:c>
      <x:c r="C857" s="1" t="inlineStr">
        <x:is>
          <x:t xml:space="preserve">Chart_12</x:t>
        </x:is>
      </x:c>
      <x:c r="D857" s="1" t="inlineStr">
        <x:is>
          <x:t xml:space="preserve">NOT_AVAILABLE</x:t>
        </x:is>
      </x:c>
      <x:c r="E857" s="5"/>
      <x:c r="F857" s="4">
        <x:v>0</x:v>
      </x:c>
      <x:c r="G857" s="4">
        <x:v>14456</x:v>
      </x:c>
      <x:c r="H857" s="6">
        <x:v>45.69</x:v>
      </x:c>
      <x:c r="I857" s="16">
        <x:v>1</x:v>
      </x:c>
      <x:c r="J857"/>
      <x:c r="K857" s="4"/>
      <x:c r="L857" s="4"/>
      <x:c r="M857" s="4"/>
      <x:c r="N857" s="5"/>
    </x:row>
    <x:row r="858" ht="24" customHeight="1">
      <x:c r="A858" s="1" t="inlineStr">
        <x:is>
          <x:t xml:space="preserve">RESULT</x:t>
        </x:is>
      </x:c>
      <x:c r="B858" s="1" t="inlineStr">
        <x:is>
          <x:t xml:space="preserve">Round2</x:t>
        </x:is>
      </x:c>
      <x:c r="C858" s="1" t="inlineStr">
        <x:is>
          <x:t xml:space="preserve">Chart_13</x:t>
        </x:is>
      </x:c>
      <x:c r="D858" s="1" t="inlineStr">
        <x:is>
          <x:t xml:space="preserve">NOT_AVAILABLE</x:t>
        </x:is>
      </x:c>
      <x:c r="E858" s="5"/>
      <x:c r="F858" s="4">
        <x:v>0</x:v>
      </x:c>
      <x:c r="G858" s="4">
        <x:v>7874</x:v>
      </x:c>
      <x:c r="H858" s="6">
        <x:v>41.46</x:v>
      </x:c>
      <x:c r="I858" s="16">
        <x:v>1</x:v>
      </x:c>
      <x:c r="J858"/>
      <x:c r="K858" s="4"/>
      <x:c r="L858" s="4"/>
      <x:c r="M858" s="4"/>
      <x:c r="N858" s="5"/>
    </x:row>
    <x:row r="859" ht="24" customHeight="1">
      <x:c r="A859" s="1" t="inlineStr">
        <x:is>
          <x:t xml:space="preserve">RESULT</x:t>
        </x:is>
      </x:c>
      <x:c r="B859" s="1" t="inlineStr">
        <x:is>
          <x:t xml:space="preserve">Round2</x:t>
        </x:is>
      </x:c>
      <x:c r="C859" s="1" t="inlineStr">
        <x:is>
          <x:t xml:space="preserve">Chart_14</x:t>
        </x:is>
      </x:c>
      <x:c r="D859" s="1" t="inlineStr">
        <x:is>
          <x:t xml:space="preserve">NOT_AVAILABLE</x:t>
        </x:is>
      </x:c>
      <x:c r="E859" s="5"/>
      <x:c r="F859" s="4">
        <x:v>0</x:v>
      </x:c>
      <x:c r="G859" s="4">
        <x:v>96334</x:v>
      </x:c>
      <x:c r="H859" s="6">
        <x:v>1390.34</x:v>
      </x:c>
      <x:c r="I859" s="16">
        <x:v>1</x:v>
      </x:c>
      <x:c r="J859"/>
      <x:c r="K859" s="4"/>
      <x:c r="L859" s="4"/>
      <x:c r="M859" s="4"/>
      <x:c r="N859" s="5"/>
    </x:row>
    <x:row r="860" ht="24" customHeight="1">
      <x:c r="A860" s="1" t="inlineStr">
        <x:is>
          <x:t xml:space="preserve">RESULT</x:t>
        </x:is>
      </x:c>
      <x:c r="B860" s="1" t="inlineStr">
        <x:is>
          <x:t xml:space="preserve">Round2</x:t>
        </x:is>
      </x:c>
      <x:c r="C860" s="1" t="inlineStr">
        <x:is>
          <x:t xml:space="preserve">Chart_15</x:t>
        </x:is>
      </x:c>
      <x:c r="D860" s="1" t="inlineStr">
        <x:is>
          <x:t xml:space="preserve">INCONCLUSIVE</x:t>
        </x:is>
      </x:c>
      <x:c r="E860" s="5">
        <x:v>0.3014</x:v>
      </x:c>
      <x:c r="F860" s="4">
        <x:v>0</x:v>
      </x:c>
      <x:c r="G860" s="4"/>
      <x:c r="H860" s="6"/>
      <x:c r="I860" s="16">
        <x:v>1</x:v>
      </x:c>
      <x:c r="J860">
        <x:v>836</x:v>
      </x:c>
      <x:c r="K860" s="4">
        <x:v>252</x:v>
      </x:c>
      <x:c r="L860" s="4">
        <x:v>312</x:v>
      </x:c>
      <x:c r="M860" s="4">
        <x:v>82</x:v>
      </x:c>
      <x:c r="N860" s="5">
        <x:v>0.26280000000000003</x:v>
      </x:c>
    </x:row>
    <x:row r="861" ht="24" customHeight="1">
      <x:c r="A861" s="1" t="inlineStr">
        <x:is>
          <x:t xml:space="preserve">RESULT</x:t>
        </x:is>
      </x:c>
      <x:c r="B861" s="1" t="inlineStr">
        <x:is>
          <x:t xml:space="preserve">Round2</x:t>
        </x:is>
      </x:c>
      <x:c r="C861" s="1" t="inlineStr">
        <x:is>
          <x:t xml:space="preserve">Chart_16</x:t>
        </x:is>
      </x:c>
      <x:c r="D861" s="1" t="inlineStr">
        <x:is>
          <x:t xml:space="preserve">NOT_REVEALING</x:t>
        </x:is>
      </x:c>
      <x:c r="E861" s="5">
        <x:v>0.9415</x:v>
      </x:c>
      <x:c r="F861" s="4">
        <x:v>0</x:v>
      </x:c>
      <x:c r="G861" s="4">
        <x:v>10730</x:v>
      </x:c>
      <x:c r="H861" s="6">
        <x:v>127.74</x:v>
      </x:c>
      <x:c r="I861" s="16">
        <x:v>1</x:v>
      </x:c>
      <x:c r="J861">
        <x:v>188</x:v>
      </x:c>
      <x:c r="K861" s="4">
        <x:v>177</x:v>
      </x:c>
      <x:c r="L861" s="4">
        <x:v>128</x:v>
      </x:c>
      <x:c r="M861" s="4">
        <x:v>113</x:v>
      </x:c>
      <x:c r="N861" s="5">
        <x:v>0.8828</x:v>
      </x:c>
    </x:row>
    <x:row r="862" ht="24" customHeight="1">
      <x:c r="A862" s="1" t="inlineStr">
        <x:is>
          <x:t xml:space="preserve">RESULT</x:t>
        </x:is>
      </x:c>
      <x:c r="B862" s="1" t="inlineStr">
        <x:is>
          <x:t xml:space="preserve">Round2</x:t>
        </x:is>
      </x:c>
      <x:c r="C862" s="1" t="inlineStr">
        <x:is>
          <x:t xml:space="preserve">Chart_17</x:t>
        </x:is>
      </x:c>
      <x:c r="D862" s="1" t="inlineStr">
        <x:is>
          <x:t xml:space="preserve">NOT_REVEALING</x:t>
        </x:is>
      </x:c>
      <x:c r="E862" s="5">
        <x:v>0.8467</x:v>
      </x:c>
      <x:c r="F862" s="4">
        <x:v>0</x:v>
      </x:c>
      <x:c r="G862" s="4">
        <x:v>24107</x:v>
      </x:c>
      <x:c r="H862" s="6">
        <x:v>486.79</x:v>
      </x:c>
      <x:c r="I862" s="16">
        <x:v>1</x:v>
      </x:c>
      <x:c r="J862">
        <x:v>287</x:v>
      </x:c>
      <x:c r="K862" s="4">
        <x:v>243</x:v>
      </x:c>
      <x:c r="L862" s="4">
        <x:v>128</x:v>
      </x:c>
      <x:c r="M862" s="4">
        <x:v>94</x:v>
      </x:c>
      <x:c r="N862" s="5">
        <x:v>0.7343999999999999</x:v>
      </x:c>
    </x:row>
    <x:row r="863" ht="24" customHeight="1">
      <x:c r="A863" s="1" t="inlineStr">
        <x:is>
          <x:t xml:space="preserve">RESULT</x:t>
        </x:is>
      </x:c>
      <x:c r="B863" s="1" t="inlineStr">
        <x:is>
          <x:t xml:space="preserve">Round2</x:t>
        </x:is>
      </x:c>
      <x:c r="C863" s="1" t="inlineStr">
        <x:is>
          <x:t xml:space="preserve">Chart_18</x:t>
        </x:is>
      </x:c>
      <x:c r="D863" s="1" t="inlineStr">
        <x:is>
          <x:t xml:space="preserve">INCONCLUSIVE</x:t>
        </x:is>
      </x:c>
      <x:c r="E863" s="5">
        <x:v>0.9586</x:v>
      </x:c>
      <x:c r="F863" s="4">
        <x:v>0</x:v>
      </x:c>
      <x:c r="G863" s="4"/>
      <x:c r="H863" s="6"/>
      <x:c r="I863" s="16">
        <x:v>1</x:v>
      </x:c>
      <x:c r="J863">
        <x:v>266</x:v>
      </x:c>
      <x:c r="K863" s="4">
        <x:v>255</x:v>
      </x:c>
      <x:c r="L863" s="4">
        <x:v>122</x:v>
      </x:c>
      <x:c r="M863" s="4">
        <x:v>102</x:v>
      </x:c>
      <x:c r="N863" s="5">
        <x:v>0.8361</x:v>
      </x:c>
    </x:row>
    <x:row r="864" ht="24" customHeight="1">
      <x:c r="A864" s="1" t="inlineStr">
        <x:is>
          <x:t xml:space="preserve">RESULT</x:t>
        </x:is>
      </x:c>
      <x:c r="B864" s="1" t="inlineStr">
        <x:is>
          <x:t xml:space="preserve">Round2</x:t>
        </x:is>
      </x:c>
      <x:c r="C864" s="1" t="inlineStr">
        <x:is>
          <x:t xml:space="preserve">Chart_19</x:t>
        </x:is>
      </x:c>
      <x:c r="D864" s="1" t="inlineStr">
        <x:is>
          <x:t xml:space="preserve">NOT_AVAILABLE</x:t>
        </x:is>
      </x:c>
      <x:c r="E864" s="5"/>
      <x:c r="F864" s="4">
        <x:v>0</x:v>
      </x:c>
      <x:c r="G864" s="4">
        <x:v>39699</x:v>
      </x:c>
      <x:c r="H864" s="6">
        <x:v>129.04</x:v>
      </x:c>
      <x:c r="I864" s="16">
        <x:v>1</x:v>
      </x:c>
      <x:c r="J864"/>
      <x:c r="K864" s="4"/>
      <x:c r="L864" s="4"/>
      <x:c r="M864" s="4"/>
      <x:c r="N864" s="5"/>
    </x:row>
    <x:row r="865" ht="24" customHeight="1">
      <x:c r="A865" s="1" t="inlineStr">
        <x:is>
          <x:t xml:space="preserve">RESULT</x:t>
        </x:is>
      </x:c>
      <x:c r="B865" s="1" t="inlineStr">
        <x:is>
          <x:t xml:space="preserve">Round2</x:t>
        </x:is>
      </x:c>
      <x:c r="C865" s="1" t="inlineStr">
        <x:is>
          <x:t xml:space="preserve">Chart_2</x:t>
        </x:is>
      </x:c>
      <x:c r="D865" s="1" t="inlineStr">
        <x:is>
          <x:t xml:space="preserve">NOT_AVAILABLE</x:t>
        </x:is>
      </x:c>
      <x:c r="E865" s="5"/>
      <x:c r="F865" s="4">
        <x:v>0</x:v>
      </x:c>
      <x:c r="G865" s="4">
        <x:v>19133</x:v>
      </x:c>
      <x:c r="H865" s="6">
        <x:v>228.8</x:v>
      </x:c>
      <x:c r="I865" s="16">
        <x:v>1</x:v>
      </x:c>
      <x:c r="J865"/>
      <x:c r="K865" s="4"/>
      <x:c r="L865" s="4"/>
      <x:c r="M865" s="4"/>
      <x:c r="N865" s="5"/>
    </x:row>
    <x:row r="866" ht="24" customHeight="1">
      <x:c r="A866" s="1" t="inlineStr">
        <x:is>
          <x:t xml:space="preserve">RESULT</x:t>
        </x:is>
      </x:c>
      <x:c r="B866" s="1" t="inlineStr">
        <x:is>
          <x:t xml:space="preserve">Round2</x:t>
        </x:is>
      </x:c>
      <x:c r="C866" s="1" t="inlineStr">
        <x:is>
          <x:t xml:space="preserve">Chart_20</x:t>
        </x:is>
      </x:c>
      <x:c r="D866" s="1" t="inlineStr">
        <x:is>
          <x:t xml:space="preserve">REVEALING</x:t>
        </x:is>
      </x:c>
      <x:c r="E866" s="5">
        <x:v>0.9545</x:v>
      </x:c>
      <x:c r="F866" s="4">
        <x:v>1</x:v>
      </x:c>
      <x:c r="G866" s="4">
        <x:v>21318</x:v>
      </x:c>
      <x:c r="H866" s="6">
        <x:v>475.71</x:v>
      </x:c>
      <x:c r="I866" s="16">
        <x:v>1</x:v>
      </x:c>
      <x:c r="J866">
        <x:v>22</x:v>
      </x:c>
      <x:c r="K866" s="4">
        <x:v>21</x:v>
      </x:c>
      <x:c r="L866" s="4">
        <x:v>8</x:v>
      </x:c>
      <x:c r="M866" s="4">
        <x:v>7</x:v>
      </x:c>
      <x:c r="N866" s="5">
        <x:v>0.875</x:v>
      </x:c>
    </x:row>
    <x:row r="867" ht="24" customHeight="1">
      <x:c r="A867" s="1" t="inlineStr">
        <x:is>
          <x:t xml:space="preserve">RESULT</x:t>
        </x:is>
      </x:c>
      <x:c r="B867" s="1" t="inlineStr">
        <x:is>
          <x:t xml:space="preserve">Round2</x:t>
        </x:is>
      </x:c>
      <x:c r="C867" s="1" t="inlineStr">
        <x:is>
          <x:t xml:space="preserve">Chart_21</x:t>
        </x:is>
      </x:c>
      <x:c r="D867" s="1" t="inlineStr">
        <x:is>
          <x:t xml:space="preserve">INCONCLUSIVE</x:t>
        </x:is>
      </x:c>
      <x:c r="E867" s="5">
        <x:v>0.5589999999999999</x:v>
      </x:c>
      <x:c r="F867" s="4">
        <x:v>0</x:v>
      </x:c>
      <x:c r="G867" s="4"/>
      <x:c r="H867" s="6"/>
      <x:c r="I867" s="16">
        <x:v>1</x:v>
      </x:c>
      <x:c r="J867">
        <x:v>161</x:v>
      </x:c>
      <x:c r="K867" s="4">
        <x:v>90</x:v>
      </x:c>
      <x:c r="L867" s="4">
        <x:v>60</x:v>
      </x:c>
      <x:c r="M867" s="4">
        <x:v>24</x:v>
      </x:c>
      <x:c r="N867" s="5">
        <x:v>0.4</x:v>
      </x:c>
    </x:row>
    <x:row r="868" ht="24" customHeight="1">
      <x:c r="A868" s="1" t="inlineStr">
        <x:is>
          <x:t xml:space="preserve">RESULT</x:t>
        </x:is>
      </x:c>
      <x:c r="B868" s="1" t="inlineStr">
        <x:is>
          <x:t xml:space="preserve">Round2</x:t>
        </x:is>
      </x:c>
      <x:c r="C868" s="1" t="inlineStr">
        <x:is>
          <x:t xml:space="preserve">Chart_22</x:t>
        </x:is>
      </x:c>
      <x:c r="D868" s="1" t="inlineStr">
        <x:is>
          <x:t xml:space="preserve">INCONCLUSIVE</x:t>
        </x:is>
      </x:c>
      <x:c r="E868" s="5">
        <x:v>0.9274</x:v>
      </x:c>
      <x:c r="F868" s="4">
        <x:v>0</x:v>
      </x:c>
      <x:c r="G868" s="4"/>
      <x:c r="H868" s="6"/>
      <x:c r="I868" s="16">
        <x:v>1</x:v>
      </x:c>
      <x:c r="J868">
        <x:v>124</x:v>
      </x:c>
      <x:c r="K868" s="4">
        <x:v>115</x:v>
      </x:c>
      <x:c r="L868" s="4">
        <x:v>58</x:v>
      </x:c>
      <x:c r="M868" s="4">
        <x:v>47</x:v>
      </x:c>
      <x:c r="N868" s="5">
        <x:v>0.8103</x:v>
      </x:c>
    </x:row>
    <x:row r="869" ht="24" customHeight="1">
      <x:c r="A869" s="1" t="inlineStr">
        <x:is>
          <x:t xml:space="preserve">RESULT</x:t>
        </x:is>
      </x:c>
      <x:c r="B869" s="1" t="inlineStr">
        <x:is>
          <x:t xml:space="preserve">Round2</x:t>
        </x:is>
      </x:c>
      <x:c r="C869" s="1" t="inlineStr">
        <x:is>
          <x:t xml:space="preserve">Chart_23</x:t>
        </x:is>
      </x:c>
      <x:c r="D869" s="1" t="inlineStr">
        <x:is>
          <x:t xml:space="preserve">REVEALING</x:t>
        </x:is>
      </x:c>
      <x:c r="E869" s="5">
        <x:v>0.375</x:v>
      </x:c>
      <x:c r="F869" s="4">
        <x:v>1</x:v>
      </x:c>
      <x:c r="G869" s="4">
        <x:v>19716</x:v>
      </x:c>
      <x:c r="H869" s="6">
        <x:v>351.16</x:v>
      </x:c>
      <x:c r="I869" s="16">
        <x:v>1</x:v>
      </x:c>
      <x:c r="J869">
        <x:v>144</x:v>
      </x:c>
      <x:c r="K869" s="4">
        <x:v>54</x:v>
      </x:c>
      <x:c r="L869" s="4">
        <x:v>46</x:v>
      </x:c>
      <x:c r="M869" s="4">
        <x:v>12</x:v>
      </x:c>
      <x:c r="N869" s="5">
        <x:v>0.2609</x:v>
      </x:c>
    </x:row>
    <x:row r="870" ht="24" customHeight="1">
      <x:c r="A870" s="1" t="inlineStr">
        <x:is>
          <x:t xml:space="preserve">RESULT</x:t>
        </x:is>
      </x:c>
      <x:c r="B870" s="1" t="inlineStr">
        <x:is>
          <x:t xml:space="preserve">Round2</x:t>
        </x:is>
      </x:c>
      <x:c r="C870" s="1" t="inlineStr">
        <x:is>
          <x:t xml:space="preserve">Chart_24</x:t>
        </x:is>
      </x:c>
      <x:c r="D870" s="1" t="inlineStr">
        <x:is>
          <x:t xml:space="preserve">INCONCLUSIVE</x:t>
        </x:is>
      </x:c>
      <x:c r="E870" s="5">
        <x:v>1.0</x:v>
      </x:c>
      <x:c r="F870" s="4">
        <x:v>0</x:v>
      </x:c>
      <x:c r="G870" s="4"/>
      <x:c r="H870" s="6"/>
      <x:c r="I870" s="16">
        <x:v>1</x:v>
      </x:c>
      <x:c r="J870">
        <x:v>25</x:v>
      </x:c>
      <x:c r="K870" s="4">
        <x:v>25</x:v>
      </x:c>
      <x:c r="L870" s="4">
        <x:v>10</x:v>
      </x:c>
      <x:c r="M870" s="4">
        <x:v>10</x:v>
      </x:c>
      <x:c r="N870" s="5">
        <x:v>1.0</x:v>
      </x:c>
    </x:row>
    <x:row r="871" ht="24" customHeight="1">
      <x:c r="A871" s="1" t="inlineStr">
        <x:is>
          <x:t xml:space="preserve">RESULT</x:t>
        </x:is>
      </x:c>
      <x:c r="B871" s="1" t="inlineStr">
        <x:is>
          <x:t xml:space="preserve">Round2</x:t>
        </x:is>
      </x:c>
      <x:c r="C871" s="1" t="inlineStr">
        <x:is>
          <x:t xml:space="preserve">Chart_25</x:t>
        </x:is>
      </x:c>
      <x:c r="D871" s="1" t="inlineStr">
        <x:is>
          <x:t xml:space="preserve">NOT_AVAILABLE</x:t>
        </x:is>
      </x:c>
      <x:c r="E871" s="5"/>
      <x:c r="F871" s="4">
        <x:v>0</x:v>
      </x:c>
      <x:c r="G871" s="4">
        <x:v>17415</x:v>
      </x:c>
      <x:c r="H871" s="6">
        <x:v>295.88</x:v>
      </x:c>
      <x:c r="I871" s="16">
        <x:v>1</x:v>
      </x:c>
      <x:c r="J871"/>
      <x:c r="K871" s="4"/>
      <x:c r="L871" s="4"/>
      <x:c r="M871" s="4"/>
      <x:c r="N871" s="5"/>
    </x:row>
    <x:row r="872" ht="24" customHeight="1">
      <x:c r="A872" s="1" t="inlineStr">
        <x:is>
          <x:t xml:space="preserve">RESULT</x:t>
        </x:is>
      </x:c>
      <x:c r="B872" s="1" t="inlineStr">
        <x:is>
          <x:t xml:space="preserve">Round2</x:t>
        </x:is>
      </x:c>
      <x:c r="C872" s="1" t="inlineStr">
        <x:is>
          <x:t xml:space="preserve">Chart_26</x:t>
        </x:is>
      </x:c>
      <x:c r="D872" s="1" t="inlineStr">
        <x:is>
          <x:t xml:space="preserve">NOT_REVEALING</x:t>
        </x:is>
      </x:c>
      <x:c r="E872" s="5">
        <x:v>0.5571</x:v>
      </x:c>
      <x:c r="F872" s="4">
        <x:v>0</x:v>
      </x:c>
      <x:c r="G872" s="4">
        <x:v>25237</x:v>
      </x:c>
      <x:c r="H872" s="6">
        <x:v>478.08</x:v>
      </x:c>
      <x:c r="I872" s="16">
        <x:v>1</x:v>
      </x:c>
      <x:c r="J872">
        <x:v>350</x:v>
      </x:c>
      <x:c r="K872" s="4">
        <x:v>195</x:v>
      </x:c>
      <x:c r="L872" s="4">
        <x:v>128</x:v>
      </x:c>
      <x:c r="M872" s="4">
        <x:v>65</x:v>
      </x:c>
      <x:c r="N872" s="5">
        <x:v>0.5078</x:v>
      </x:c>
    </x:row>
    <x:row r="873" ht="24" customHeight="1">
      <x:c r="A873" s="1" t="inlineStr">
        <x:is>
          <x:t xml:space="preserve">RESULT</x:t>
        </x:is>
      </x:c>
      <x:c r="B873" s="1" t="inlineStr">
        <x:is>
          <x:t xml:space="preserve">Round2</x:t>
        </x:is>
      </x:c>
      <x:c r="C873" s="1" t="inlineStr">
        <x:is>
          <x:t xml:space="preserve">Chart_3</x:t>
        </x:is>
      </x:c>
      <x:c r="D873" s="1" t="inlineStr">
        <x:is>
          <x:t xml:space="preserve">NOT_AVAILABLE</x:t>
        </x:is>
      </x:c>
      <x:c r="E873" s="5"/>
      <x:c r="F873" s="4">
        <x:v>0</x:v>
      </x:c>
      <x:c r="G873" s="4">
        <x:v>25880</x:v>
      </x:c>
      <x:c r="H873" s="6">
        <x:v>508.03</x:v>
      </x:c>
      <x:c r="I873" s="16">
        <x:v>1</x:v>
      </x:c>
      <x:c r="J873"/>
      <x:c r="K873" s="4"/>
      <x:c r="L873" s="4"/>
      <x:c r="M873" s="4"/>
      <x:c r="N873" s="5"/>
    </x:row>
    <x:row r="874" ht="24" customHeight="1">
      <x:c r="A874" s="1" t="inlineStr">
        <x:is>
          <x:t xml:space="preserve">RESULT</x:t>
        </x:is>
      </x:c>
      <x:c r="B874" s="1" t="inlineStr">
        <x:is>
          <x:t xml:space="preserve">Round2</x:t>
        </x:is>
      </x:c>
      <x:c r="C874" s="1" t="inlineStr">
        <x:is>
          <x:t xml:space="preserve">Chart_4</x:t>
        </x:is>
      </x:c>
      <x:c r="D874" s="1" t="inlineStr">
        <x:is>
          <x:t xml:space="preserve">NOT_AVAILABLE</x:t>
        </x:is>
      </x:c>
      <x:c r="E874" s="5"/>
      <x:c r="F874" s="4">
        <x:v>0</x:v>
      </x:c>
      <x:c r="G874" s="4">
        <x:v>54043</x:v>
      </x:c>
      <x:c r="H874" s="6">
        <x:v>704.66</x:v>
      </x:c>
      <x:c r="I874" s="16">
        <x:v>1</x:v>
      </x:c>
      <x:c r="J874"/>
      <x:c r="K874" s="4"/>
      <x:c r="L874" s="4"/>
      <x:c r="M874" s="4"/>
      <x:c r="N874" s="5"/>
    </x:row>
    <x:row r="875" ht="24" customHeight="1">
      <x:c r="A875" s="1" t="inlineStr">
        <x:is>
          <x:t xml:space="preserve">RESULT</x:t>
        </x:is>
      </x:c>
      <x:c r="B875" s="1" t="inlineStr">
        <x:is>
          <x:t xml:space="preserve">Round2</x:t>
        </x:is>
      </x:c>
      <x:c r="C875" s="1" t="inlineStr">
        <x:is>
          <x:t xml:space="preserve">Chart_5</x:t>
        </x:is>
      </x:c>
      <x:c r="D875" s="1" t="inlineStr">
        <x:is>
          <x:t xml:space="preserve">INCONCLUSIVE</x:t>
        </x:is>
      </x:c>
      <x:c r="E875" s="5">
        <x:v>0.9012</x:v>
      </x:c>
      <x:c r="F875" s="4">
        <x:v>0</x:v>
      </x:c>
      <x:c r="G875" s="4">
        <x:v>36186</x:v>
      </x:c>
      <x:c r="H875" s="6">
        <x:v>716.8</x:v>
      </x:c>
      <x:c r="I875" s="16">
        <x:v>1</x:v>
      </x:c>
      <x:c r="J875">
        <x:v>172</x:v>
      </x:c>
      <x:c r="K875" s="4">
        <x:v>155</x:v>
      </x:c>
      <x:c r="L875" s="4">
        <x:v>80</x:v>
      </x:c>
      <x:c r="M875" s="4">
        <x:v>69</x:v>
      </x:c>
      <x:c r="N875" s="5">
        <x:v>0.8625</x:v>
      </x:c>
    </x:row>
    <x:row r="876" ht="24" customHeight="1">
      <x:c r="A876" s="1" t="inlineStr">
        <x:is>
          <x:t xml:space="preserve">RESULT</x:t>
        </x:is>
      </x:c>
      <x:c r="B876" s="1" t="inlineStr">
        <x:is>
          <x:t xml:space="preserve">Round2</x:t>
        </x:is>
      </x:c>
      <x:c r="C876" s="1" t="inlineStr">
        <x:is>
          <x:t xml:space="preserve">Chart_6</x:t>
        </x:is>
      </x:c>
      <x:c r="D876" s="1" t="inlineStr">
        <x:is>
          <x:t xml:space="preserve">NOT_AVAILABLE</x:t>
        </x:is>
      </x:c>
      <x:c r="E876" s="5"/>
      <x:c r="F876" s="4">
        <x:v>0</x:v>
      </x:c>
      <x:c r="G876" s="4">
        <x:v>28854</x:v>
      </x:c>
      <x:c r="H876" s="6">
        <x:v>652.26</x:v>
      </x:c>
      <x:c r="I876" s="16">
        <x:v>1</x:v>
      </x:c>
      <x:c r="J876"/>
      <x:c r="K876" s="4"/>
      <x:c r="L876" s="4"/>
      <x:c r="M876" s="4"/>
      <x:c r="N876" s="5"/>
    </x:row>
    <x:row r="877" ht="24" customHeight="1">
      <x:c r="A877" s="1" t="inlineStr">
        <x:is>
          <x:t xml:space="preserve">RESULT</x:t>
        </x:is>
      </x:c>
      <x:c r="B877" s="1" t="inlineStr">
        <x:is>
          <x:t xml:space="preserve">Round2</x:t>
        </x:is>
      </x:c>
      <x:c r="C877" s="1" t="inlineStr">
        <x:is>
          <x:t xml:space="preserve">Chart_7</x:t>
        </x:is>
      </x:c>
      <x:c r="D877" s="1" t="inlineStr">
        <x:is>
          <x:t xml:space="preserve">NOT_AVAILABLE</x:t>
        </x:is>
      </x:c>
      <x:c r="E877" s="5"/>
      <x:c r="F877" s="4">
        <x:v>0</x:v>
      </x:c>
      <x:c r="G877" s="4">
        <x:v>25498</x:v>
      </x:c>
      <x:c r="H877" s="6">
        <x:v>498.65</x:v>
      </x:c>
      <x:c r="I877" s="16">
        <x:v>1</x:v>
      </x:c>
      <x:c r="J877"/>
      <x:c r="K877" s="4"/>
      <x:c r="L877" s="4"/>
      <x:c r="M877" s="4"/>
      <x:c r="N877" s="5"/>
    </x:row>
    <x:row r="878" ht="24" customHeight="1">
      <x:c r="A878" s="1" t="inlineStr">
        <x:is>
          <x:t xml:space="preserve">RESULT</x:t>
        </x:is>
      </x:c>
      <x:c r="B878" s="1" t="inlineStr">
        <x:is>
          <x:t xml:space="preserve">Round2</x:t>
        </x:is>
      </x:c>
      <x:c r="C878" s="1" t="inlineStr">
        <x:is>
          <x:t xml:space="preserve">Chart_8</x:t>
        </x:is>
      </x:c>
      <x:c r="D878" s="1" t="inlineStr">
        <x:is>
          <x:t xml:space="preserve">INCONCLUSIVE</x:t>
        </x:is>
      </x:c>
      <x:c r="E878" s="5">
        <x:v>0.7345999999999999</x:v>
      </x:c>
      <x:c r="F878" s="4">
        <x:v>0</x:v>
      </x:c>
      <x:c r="G878" s="4"/>
      <x:c r="H878" s="6"/>
      <x:c r="I878" s="16">
        <x:v>1</x:v>
      </x:c>
      <x:c r="J878">
        <x:v>162</x:v>
      </x:c>
      <x:c r="K878" s="4">
        <x:v>119</x:v>
      </x:c>
      <x:c r="L878" s="4">
        <x:v>68</x:v>
      </x:c>
      <x:c r="M878" s="4">
        <x:v>35</x:v>
      </x:c>
      <x:c r="N878" s="5">
        <x:v>0.5146999999999999</x:v>
      </x:c>
    </x:row>
    <x:row r="879" ht="24" customHeight="1">
      <x:c r="A879" s="1" t="inlineStr">
        <x:is>
          <x:t xml:space="preserve">RESULT</x:t>
        </x:is>
      </x:c>
      <x:c r="B879" s="1" t="inlineStr">
        <x:is>
          <x:t xml:space="preserve">Round2</x:t>
        </x:is>
      </x:c>
      <x:c r="C879" s="1" t="inlineStr">
        <x:is>
          <x:t xml:space="preserve">Chart_9</x:t>
        </x:is>
      </x:c>
      <x:c r="D879" s="1" t="inlineStr">
        <x:is>
          <x:t xml:space="preserve">NOT_REVEALING</x:t>
        </x:is>
      </x:c>
      <x:c r="E879" s="5">
        <x:v>0.7778</x:v>
      </x:c>
      <x:c r="F879" s="4">
        <x:v>0</x:v>
      </x:c>
      <x:c r="G879" s="4">
        <x:v>19526</x:v>
      </x:c>
      <x:c r="H879" s="6">
        <x:v>364.61</x:v>
      </x:c>
      <x:c r="I879" s="16">
        <x:v>1</x:v>
      </x:c>
      <x:c r="J879">
        <x:v>288</x:v>
      </x:c>
      <x:c r="K879" s="4">
        <x:v>224</x:v>
      </x:c>
      <x:c r="L879" s="4">
        <x:v>128</x:v>
      </x:c>
      <x:c r="M879" s="4">
        <x:v>88</x:v>
      </x:c>
      <x:c r="N879" s="5">
        <x:v>0.6875</x:v>
      </x:c>
    </x:row>
    <x:row r="880" ht="24" customHeight="1">
      <x:c r="A880" s="1" t="inlineStr">
        <x:is>
          <x:t xml:space="preserve">RESULT</x:t>
        </x:is>
      </x:c>
      <x:c r="B880" s="1" t="inlineStr">
        <x:is>
          <x:t xml:space="preserve">Round2</x:t>
        </x:is>
      </x:c>
      <x:c r="C880" s="1" t="inlineStr">
        <x:is>
          <x:t xml:space="preserve">Cli_1</x:t>
        </x:is>
      </x:c>
      <x:c r="D880" s="1" t="inlineStr">
        <x:is>
          <x:t xml:space="preserve">INCONCLUSIVE</x:t>
        </x:is>
      </x:c>
      <x:c r="E880" s="5">
        <x:v>0.0</x:v>
      </x:c>
      <x:c r="F880" s="4">
        <x:v>0</x:v>
      </x:c>
      <x:c r="G880" s="4">
        <x:v>26036</x:v>
      </x:c>
      <x:c r="H880" s="6">
        <x:v>576.84</x:v>
      </x:c>
      <x:c r="I880" s="16">
        <x:v>1</x:v>
      </x:c>
      <x:c r="J880">
        <x:v>45</x:v>
      </x:c>
      <x:c r="K880" s="4">
        <x:v>0</x:v>
      </x:c>
      <x:c r="L880" s="4">
        <x:v>14</x:v>
      </x:c>
      <x:c r="M880" s="4">
        <x:v>0</x:v>
      </x:c>
      <x:c r="N880" s="5">
        <x:v>0.0</x:v>
      </x:c>
    </x:row>
    <x:row r="881" ht="24" customHeight="1">
      <x:c r="A881" s="1" t="inlineStr">
        <x:is>
          <x:t xml:space="preserve">RESULT</x:t>
        </x:is>
      </x:c>
      <x:c r="B881" s="1" t="inlineStr">
        <x:is>
          <x:t xml:space="preserve">Round2</x:t>
        </x:is>
      </x:c>
      <x:c r="C881" s="1" t="inlineStr">
        <x:is>
          <x:t xml:space="preserve">Cli_10</x:t>
        </x:is>
      </x:c>
      <x:c r="D881" s="1" t="inlineStr">
        <x:is>
          <x:t xml:space="preserve">INCONCLUSIVE</x:t>
        </x:is>
      </x:c>
      <x:c r="E881" s="5">
        <x:v>0.0</x:v>
      </x:c>
      <x:c r="F881" s="4">
        <x:v>0</x:v>
      </x:c>
      <x:c r="G881" s="4">
        <x:v>24451</x:v>
      </x:c>
      <x:c r="H881" s="6">
        <x:v>500.79</x:v>
      </x:c>
      <x:c r="I881" s="16">
        <x:v>1</x:v>
      </x:c>
      <x:c r="J881">
        <x:v>106</x:v>
      </x:c>
      <x:c r="K881" s="4">
        <x:v>0</x:v>
      </x:c>
      <x:c r="L881" s="4">
        <x:v>70</x:v>
      </x:c>
      <x:c r="M881" s="4">
        <x:v>0</x:v>
      </x:c>
      <x:c r="N881" s="5">
        <x:v>0.0</x:v>
      </x:c>
    </x:row>
    <x:row r="882" ht="24" customHeight="1">
      <x:c r="A882" s="1" t="inlineStr">
        <x:is>
          <x:t xml:space="preserve">RESULT</x:t>
        </x:is>
      </x:c>
      <x:c r="B882" s="1" t="inlineStr">
        <x:is>
          <x:t xml:space="preserve">Round2</x:t>
        </x:is>
      </x:c>
      <x:c r="C882" s="1" t="inlineStr">
        <x:is>
          <x:t xml:space="preserve">Cli_11</x:t>
        </x:is>
      </x:c>
      <x:c r="D882" s="1" t="inlineStr">
        <x:is>
          <x:t xml:space="preserve">INCONCLUSIVE</x:t>
        </x:is>
      </x:c>
      <x:c r="E882" s="5">
        <x:v>0.0</x:v>
      </x:c>
      <x:c r="F882" s="4">
        <x:v>0</x:v>
      </x:c>
      <x:c r="G882" s="4">
        <x:v>25124</x:v>
      </x:c>
      <x:c r="H882" s="6">
        <x:v>510.35</x:v>
      </x:c>
      <x:c r="I882" s="16">
        <x:v>1</x:v>
      </x:c>
      <x:c r="J882">
        <x:v>198</x:v>
      </x:c>
      <x:c r="K882" s="4">
        <x:v>0</x:v>
      </x:c>
      <x:c r="L882" s="4">
        <x:v>106</x:v>
      </x:c>
      <x:c r="M882" s="4">
        <x:v>0</x:v>
      </x:c>
      <x:c r="N882" s="5">
        <x:v>0.0</x:v>
      </x:c>
    </x:row>
    <x:row r="883" ht="24" customHeight="1">
      <x:c r="A883" s="1" t="inlineStr">
        <x:is>
          <x:t xml:space="preserve">RESULT</x:t>
        </x:is>
      </x:c>
      <x:c r="B883" s="1" t="inlineStr">
        <x:is>
          <x:t xml:space="preserve">Round2</x:t>
        </x:is>
      </x:c>
      <x:c r="C883" s="1" t="inlineStr">
        <x:is>
          <x:t xml:space="preserve">Cli_12</x:t>
        </x:is>
      </x:c>
      <x:c r="D883" s="1" t="inlineStr">
        <x:is>
          <x:t xml:space="preserve">INCONCLUSIVE</x:t>
        </x:is>
      </x:c>
      <x:c r="E883" s="5">
        <x:v>0.0</x:v>
      </x:c>
      <x:c r="F883" s="4">
        <x:v>0</x:v>
      </x:c>
      <x:c r="G883" s="4"/>
      <x:c r="H883" s="6"/>
      <x:c r="I883" s="16">
        <x:v>1</x:v>
      </x:c>
      <x:c r="J883">
        <x:v>25</x:v>
      </x:c>
      <x:c r="K883" s="4">
        <x:v>0</x:v>
      </x:c>
      <x:c r="L883" s="4">
        <x:v>16</x:v>
      </x:c>
      <x:c r="M883" s="4">
        <x:v>0</x:v>
      </x:c>
      <x:c r="N883" s="5">
        <x:v>0.0</x:v>
      </x:c>
    </x:row>
    <x:row r="884" ht="24" customHeight="1">
      <x:c r="A884" s="1" t="inlineStr">
        <x:is>
          <x:t xml:space="preserve">RESULT</x:t>
        </x:is>
      </x:c>
      <x:c r="B884" s="1" t="inlineStr">
        <x:is>
          <x:t xml:space="preserve">Round2</x:t>
        </x:is>
      </x:c>
      <x:c r="C884" s="1" t="inlineStr">
        <x:is>
          <x:t xml:space="preserve">Cli_13</x:t>
        </x:is>
      </x:c>
      <x:c r="D884" s="1" t="inlineStr">
        <x:is>
          <x:t xml:space="preserve">NOT_AVAILABLE</x:t>
        </x:is>
      </x:c>
      <x:c r="E884" s="5"/>
      <x:c r="F884" s="4">
        <x:v>0</x:v>
      </x:c>
      <x:c r="G884" s="4">
        <x:v>87599</x:v>
      </x:c>
      <x:c r="H884" s="6">
        <x:v>1946.17</x:v>
      </x:c>
      <x:c r="I884" s="16">
        <x:v>1</x:v>
      </x:c>
      <x:c r="J884"/>
      <x:c r="K884" s="4"/>
      <x:c r="L884" s="4"/>
      <x:c r="M884" s="4"/>
      <x:c r="N884" s="5"/>
    </x:row>
    <x:row r="885" ht="24" customHeight="1">
      <x:c r="A885" s="1" t="inlineStr">
        <x:is>
          <x:t xml:space="preserve">RESULT</x:t>
        </x:is>
      </x:c>
      <x:c r="B885" s="1" t="inlineStr">
        <x:is>
          <x:t xml:space="preserve">Round2</x:t>
        </x:is>
      </x:c>
      <x:c r="C885" s="1" t="inlineStr">
        <x:is>
          <x:t xml:space="preserve">Cli_14</x:t>
        </x:is>
      </x:c>
      <x:c r="D885" s="1" t="inlineStr">
        <x:is>
          <x:t xml:space="preserve">NOT_AVAILABLE</x:t>
        </x:is>
      </x:c>
      <x:c r="E885" s="5"/>
      <x:c r="F885" s="4">
        <x:v>0</x:v>
      </x:c>
      <x:c r="G885" s="4">
        <x:v>27213</x:v>
      </x:c>
      <x:c r="H885" s="6">
        <x:v>552.78</x:v>
      </x:c>
      <x:c r="I885" s="16">
        <x:v>1</x:v>
      </x:c>
      <x:c r="J885"/>
      <x:c r="K885" s="4"/>
      <x:c r="L885" s="4"/>
      <x:c r="M885" s="4"/>
      <x:c r="N885" s="5"/>
    </x:row>
    <x:row r="886" ht="24" customHeight="1">
      <x:c r="A886" s="1" t="inlineStr">
        <x:is>
          <x:t xml:space="preserve">RESULT</x:t>
        </x:is>
      </x:c>
      <x:c r="B886" s="1" t="inlineStr">
        <x:is>
          <x:t xml:space="preserve">Round2</x:t>
        </x:is>
      </x:c>
      <x:c r="C886" s="1" t="inlineStr">
        <x:is>
          <x:t xml:space="preserve">Cli_15</x:t>
        </x:is>
      </x:c>
      <x:c r="D886" s="1" t="inlineStr">
        <x:is>
          <x:t xml:space="preserve">NOT_AVAILABLE</x:t>
        </x:is>
      </x:c>
      <x:c r="E886" s="5"/>
      <x:c r="F886" s="4">
        <x:v>0</x:v>
      </x:c>
      <x:c r="G886" s="4">
        <x:v>29250</x:v>
      </x:c>
      <x:c r="H886" s="6">
        <x:v>643.05</x:v>
      </x:c>
      <x:c r="I886" s="16">
        <x:v>1</x:v>
      </x:c>
      <x:c r="J886"/>
      <x:c r="K886" s="4"/>
      <x:c r="L886" s="4"/>
      <x:c r="M886" s="4"/>
      <x:c r="N886" s="5"/>
    </x:row>
    <x:row r="887" ht="24" customHeight="1">
      <x:c r="A887" s="1" t="inlineStr">
        <x:is>
          <x:t xml:space="preserve">RESULT</x:t>
        </x:is>
      </x:c>
      <x:c r="B887" s="1" t="inlineStr">
        <x:is>
          <x:t xml:space="preserve">Round2</x:t>
        </x:is>
      </x:c>
      <x:c r="C887" s="1" t="inlineStr">
        <x:is>
          <x:t xml:space="preserve">Cli_16</x:t>
        </x:is>
      </x:c>
      <x:c r="D887" s="1" t="inlineStr">
        <x:is>
          <x:t xml:space="preserve">NOT_AVAILABLE</x:t>
        </x:is>
      </x:c>
      <x:c r="E887" s="5"/>
      <x:c r="F887" s="4">
        <x:v>0</x:v>
      </x:c>
      <x:c r="G887" s="4">
        <x:v>119272</x:v>
      </x:c>
      <x:c r="H887" s="6">
        <x:v>2516.15</x:v>
      </x:c>
      <x:c r="I887" s="16">
        <x:v>1</x:v>
      </x:c>
      <x:c r="J887"/>
      <x:c r="K887" s="4"/>
      <x:c r="L887" s="4"/>
      <x:c r="M887" s="4"/>
      <x:c r="N887" s="5"/>
    </x:row>
    <x:row r="888" ht="24" customHeight="1">
      <x:c r="A888" s="1" t="inlineStr">
        <x:is>
          <x:t xml:space="preserve">RESULT</x:t>
        </x:is>
      </x:c>
      <x:c r="B888" s="1" t="inlineStr">
        <x:is>
          <x:t xml:space="preserve">Round2</x:t>
        </x:is>
      </x:c>
      <x:c r="C888" s="1" t="inlineStr">
        <x:is>
          <x:t xml:space="preserve">Cli_17</x:t>
        </x:is>
      </x:c>
      <x:c r="D888" s="1" t="inlineStr">
        <x:is>
          <x:t xml:space="preserve">INCONCLUSIVE</x:t>
        </x:is>
      </x:c>
      <x:c r="E888" s="5">
        <x:v>0.0</x:v>
      </x:c>
      <x:c r="F888" s="4">
        <x:v>0</x:v>
      </x:c>
      <x:c r="G888" s="4">
        <x:v>32576</x:v>
      </x:c>
      <x:c r="H888" s="6">
        <x:v>662.59</x:v>
      </x:c>
      <x:c r="I888" s="16">
        <x:v>1</x:v>
      </x:c>
      <x:c r="J888">
        <x:v>67</x:v>
      </x:c>
      <x:c r="K888" s="4">
        <x:v>0</x:v>
      </x:c>
      <x:c r="L888" s="4">
        <x:v>42</x:v>
      </x:c>
      <x:c r="M888" s="4">
        <x:v>0</x:v>
      </x:c>
      <x:c r="N888" s="5">
        <x:v>0.0</x:v>
      </x:c>
    </x:row>
    <x:row r="889" ht="24" customHeight="1">
      <x:c r="A889" s="1" t="inlineStr">
        <x:is>
          <x:t xml:space="preserve">RESULT</x:t>
        </x:is>
      </x:c>
      <x:c r="B889" s="1" t="inlineStr">
        <x:is>
          <x:t xml:space="preserve">Round2</x:t>
        </x:is>
      </x:c>
      <x:c r="C889" s="1" t="inlineStr">
        <x:is>
          <x:t xml:space="preserve">Cli_18</x:t>
        </x:is>
      </x:c>
      <x:c r="D889" s="1" t="inlineStr">
        <x:is>
          <x:t xml:space="preserve">INCONCLUSIVE</x:t>
        </x:is>
      </x:c>
      <x:c r="E889" s="5">
        <x:v>0.0</x:v>
      </x:c>
      <x:c r="F889" s="4">
        <x:v>0</x:v>
      </x:c>
      <x:c r="G889" s="4"/>
      <x:c r="H889" s="6"/>
      <x:c r="I889" s="16">
        <x:v>1</x:v>
      </x:c>
      <x:c r="J889">
        <x:v>66</x:v>
      </x:c>
      <x:c r="K889" s="4">
        <x:v>0</x:v>
      </x:c>
      <x:c r="L889" s="4">
        <x:v>42</x:v>
      </x:c>
      <x:c r="M889" s="4">
        <x:v>0</x:v>
      </x:c>
      <x:c r="N889" s="5">
        <x:v>0.0</x:v>
      </x:c>
    </x:row>
    <x:row r="890" ht="24" customHeight="1">
      <x:c r="A890" s="1" t="inlineStr">
        <x:is>
          <x:t xml:space="preserve">RESULT</x:t>
        </x:is>
      </x:c>
      <x:c r="B890" s="1" t="inlineStr">
        <x:is>
          <x:t xml:space="preserve">Round2</x:t>
        </x:is>
      </x:c>
      <x:c r="C890" s="1" t="inlineStr">
        <x:is>
          <x:t xml:space="preserve">Cli_19</x:t>
        </x:is>
      </x:c>
      <x:c r="D890" s="1" t="inlineStr">
        <x:is>
          <x:t xml:space="preserve">INCONCLUSIVE</x:t>
        </x:is>
      </x:c>
      <x:c r="E890" s="5">
        <x:v>0.0</x:v>
      </x:c>
      <x:c r="F890" s="4">
        <x:v>0</x:v>
      </x:c>
      <x:c r="G890" s="4"/>
      <x:c r="H890" s="6"/>
      <x:c r="I890" s="16">
        <x:v>1</x:v>
      </x:c>
      <x:c r="J890">
        <x:v>65</x:v>
      </x:c>
      <x:c r="K890" s="4">
        <x:v>0</x:v>
      </x:c>
      <x:c r="L890" s="4">
        <x:v>42</x:v>
      </x:c>
      <x:c r="M890" s="4">
        <x:v>0</x:v>
      </x:c>
      <x:c r="N890" s="5">
        <x:v>0.0</x:v>
      </x:c>
    </x:row>
    <x:row r="891" ht="24" customHeight="1">
      <x:c r="A891" s="1" t="inlineStr">
        <x:is>
          <x:t xml:space="preserve">RESULT</x:t>
        </x:is>
      </x:c>
      <x:c r="B891" s="1" t="inlineStr">
        <x:is>
          <x:t xml:space="preserve">Round2</x:t>
        </x:is>
      </x:c>
      <x:c r="C891" s="1" t="inlineStr">
        <x:is>
          <x:t xml:space="preserve">Cli_2</x:t>
        </x:is>
      </x:c>
      <x:c r="D891" s="1" t="inlineStr">
        <x:is>
          <x:t xml:space="preserve">INCONCLUSIVE</x:t>
        </x:is>
      </x:c>
      <x:c r="E891" s="5">
        <x:v>0.0</x:v>
      </x:c>
      <x:c r="F891" s="4">
        <x:v>0</x:v>
      </x:c>
      <x:c r="G891" s="4"/>
      <x:c r="H891" s="6"/>
      <x:c r="I891" s="16">
        <x:v>1</x:v>
      </x:c>
      <x:c r="J891">
        <x:v>68</x:v>
      </x:c>
      <x:c r="K891" s="4">
        <x:v>0</x:v>
      </x:c>
      <x:c r="L891" s="4">
        <x:v>42</x:v>
      </x:c>
      <x:c r="M891" s="4">
        <x:v>0</x:v>
      </x:c>
      <x:c r="N891" s="5">
        <x:v>0.0</x:v>
      </x:c>
    </x:row>
    <x:row r="892" ht="24" customHeight="1">
      <x:c r="A892" s="1" t="inlineStr">
        <x:is>
          <x:t xml:space="preserve">RESULT</x:t>
        </x:is>
      </x:c>
      <x:c r="B892" s="1" t="inlineStr">
        <x:is>
          <x:t xml:space="preserve">Round2</x:t>
        </x:is>
      </x:c>
      <x:c r="C892" s="1" t="inlineStr">
        <x:is>
          <x:t xml:space="preserve">Cli_20</x:t>
        </x:is>
      </x:c>
      <x:c r="D892" s="1" t="inlineStr">
        <x:is>
          <x:t xml:space="preserve">INCONCLUSIVE</x:t>
        </x:is>
      </x:c>
      <x:c r="E892" s="5">
        <x:v>0.0</x:v>
      </x:c>
      <x:c r="F892" s="4">
        <x:v>0</x:v>
      </x:c>
      <x:c r="G892" s="4">
        <x:v>20406</x:v>
      </x:c>
      <x:c r="H892" s="6">
        <x:v>398.93</x:v>
      </x:c>
      <x:c r="I892" s="16">
        <x:v>1</x:v>
      </x:c>
      <x:c r="J892">
        <x:v>64</x:v>
      </x:c>
      <x:c r="K892" s="4">
        <x:v>0</x:v>
      </x:c>
      <x:c r="L892" s="4">
        <x:v>42</x:v>
      </x:c>
      <x:c r="M892" s="4">
        <x:v>0</x:v>
      </x:c>
      <x:c r="N892" s="5">
        <x:v>0.0</x:v>
      </x:c>
    </x:row>
    <x:row r="893" ht="24" customHeight="1">
      <x:c r="A893" s="1" t="inlineStr">
        <x:is>
          <x:t xml:space="preserve">RESULT</x:t>
        </x:is>
      </x:c>
      <x:c r="B893" s="1" t="inlineStr">
        <x:is>
          <x:t xml:space="preserve">Round2</x:t>
        </x:is>
      </x:c>
      <x:c r="C893" s="1" t="inlineStr">
        <x:is>
          <x:t xml:space="preserve">Cli_21</x:t>
        </x:is>
      </x:c>
      <x:c r="D893" s="1" t="inlineStr">
        <x:is>
          <x:t xml:space="preserve">NOT_AVAILABLE</x:t>
        </x:is>
      </x:c>
      <x:c r="E893" s="5"/>
      <x:c r="F893" s="4">
        <x:v>0</x:v>
      </x:c>
      <x:c r="G893" s="4">
        <x:v>69965</x:v>
      </x:c>
      <x:c r="H893" s="6">
        <x:v>1405.27</x:v>
      </x:c>
      <x:c r="I893" s="16">
        <x:v>1</x:v>
      </x:c>
      <x:c r="J893"/>
      <x:c r="K893" s="4"/>
      <x:c r="L893" s="4"/>
      <x:c r="M893" s="4"/>
      <x:c r="N893" s="5"/>
    </x:row>
    <x:row r="894" ht="24" customHeight="1">
      <x:c r="A894" s="1" t="inlineStr">
        <x:is>
          <x:t xml:space="preserve">RESULT</x:t>
        </x:is>
      </x:c>
      <x:c r="B894" s="1" t="inlineStr">
        <x:is>
          <x:t xml:space="preserve">Round2</x:t>
        </x:is>
      </x:c>
      <x:c r="C894" s="1" t="inlineStr">
        <x:is>
          <x:t xml:space="preserve">Cli_22</x:t>
        </x:is>
      </x:c>
      <x:c r="D894" s="1" t="inlineStr">
        <x:is>
          <x:t xml:space="preserve">INCONCLUSIVE</x:t>
        </x:is>
      </x:c>
      <x:c r="E894" s="5">
        <x:v>0.0</x:v>
      </x:c>
      <x:c r="F894" s="4">
        <x:v>0</x:v>
      </x:c>
      <x:c r="G894" s="4"/>
      <x:c r="H894" s="6"/>
      <x:c r="I894" s="16">
        <x:v>1</x:v>
      </x:c>
      <x:c r="J894">
        <x:v>57</x:v>
      </x:c>
      <x:c r="K894" s="4">
        <x:v>0</x:v>
      </x:c>
      <x:c r="L894" s="4">
        <x:v>38</x:v>
      </x:c>
      <x:c r="M894" s="4">
        <x:v>0</x:v>
      </x:c>
      <x:c r="N894" s="5">
        <x:v>0.0</x:v>
      </x:c>
    </x:row>
    <x:row r="895" ht="24" customHeight="1">
      <x:c r="A895" s="1" t="inlineStr">
        <x:is>
          <x:t xml:space="preserve">RESULT</x:t>
        </x:is>
      </x:c>
      <x:c r="B895" s="1" t="inlineStr">
        <x:is>
          <x:t xml:space="preserve">Round2</x:t>
        </x:is>
      </x:c>
      <x:c r="C895" s="1" t="inlineStr">
        <x:is>
          <x:t xml:space="preserve">Cli_23</x:t>
        </x:is>
      </x:c>
      <x:c r="D895" s="1" t="inlineStr">
        <x:is>
          <x:t xml:space="preserve">INCONCLUSIVE</x:t>
        </x:is>
      </x:c>
      <x:c r="E895" s="5">
        <x:v>0.0</x:v>
      </x:c>
      <x:c r="F895" s="4">
        <x:v>0</x:v>
      </x:c>
      <x:c r="G895" s="4">
        <x:v>25166</x:v>
      </x:c>
      <x:c r="H895" s="6">
        <x:v>489.56</x:v>
      </x:c>
      <x:c r="I895" s="16">
        <x:v>1</x:v>
      </x:c>
      <x:c r="J895">
        <x:v>198</x:v>
      </x:c>
      <x:c r="K895" s="4">
        <x:v>0</x:v>
      </x:c>
      <x:c r="L895" s="4">
        <x:v>108</x:v>
      </x:c>
      <x:c r="M895" s="4">
        <x:v>0</x:v>
      </x:c>
      <x:c r="N895" s="5">
        <x:v>0.0</x:v>
      </x:c>
    </x:row>
    <x:row r="896" ht="24" customHeight="1">
      <x:c r="A896" s="1" t="inlineStr">
        <x:is>
          <x:t xml:space="preserve">RESULT</x:t>
        </x:is>
      </x:c>
      <x:c r="B896" s="1" t="inlineStr">
        <x:is>
          <x:t xml:space="preserve">Round2</x:t>
        </x:is>
      </x:c>
      <x:c r="C896" s="1" t="inlineStr">
        <x:is>
          <x:t xml:space="preserve">Cli_24</x:t>
        </x:is>
      </x:c>
      <x:c r="D896" s="1" t="inlineStr">
        <x:is>
          <x:t xml:space="preserve">INCONCLUSIVE</x:t>
        </x:is>
      </x:c>
      <x:c r="E896" s="5">
        <x:v>0.0</x:v>
      </x:c>
      <x:c r="F896" s="4">
        <x:v>0</x:v>
      </x:c>
      <x:c r="G896" s="4"/>
      <x:c r="H896" s="6"/>
      <x:c r="I896" s="16">
        <x:v>1</x:v>
      </x:c>
      <x:c r="J896">
        <x:v>198</x:v>
      </x:c>
      <x:c r="K896" s="4">
        <x:v>0</x:v>
      </x:c>
      <x:c r="L896" s="4">
        <x:v>112</x:v>
      </x:c>
      <x:c r="M896" s="4">
        <x:v>0</x:v>
      </x:c>
      <x:c r="N896" s="5">
        <x:v>0.0</x:v>
      </x:c>
    </x:row>
    <x:row r="897" ht="24" customHeight="1">
      <x:c r="A897" s="1" t="inlineStr">
        <x:is>
          <x:t xml:space="preserve">RESULT</x:t>
        </x:is>
      </x:c>
      <x:c r="B897" s="1" t="inlineStr">
        <x:is>
          <x:t xml:space="preserve">Round2</x:t>
        </x:is>
      </x:c>
      <x:c r="C897" s="1" t="inlineStr">
        <x:is>
          <x:t xml:space="preserve">Cli_25</x:t>
        </x:is>
      </x:c>
      <x:c r="D897" s="1" t="inlineStr">
        <x:is>
          <x:t xml:space="preserve">INCONCLUSIVE</x:t>
        </x:is>
      </x:c>
      <x:c r="E897" s="5">
        <x:v>0.0</x:v>
      </x:c>
      <x:c r="F897" s="4">
        <x:v>0</x:v>
      </x:c>
      <x:c r="G897" s="4">
        <x:v>23074</x:v>
      </x:c>
      <x:c r="H897" s="6">
        <x:v>451.32</x:v>
      </x:c>
      <x:c r="I897" s="16">
        <x:v>1</x:v>
      </x:c>
      <x:c r="J897">
        <x:v>198</x:v>
      </x:c>
      <x:c r="K897" s="4">
        <x:v>0</x:v>
      </x:c>
      <x:c r="L897" s="4">
        <x:v>112</x:v>
      </x:c>
      <x:c r="M897" s="4">
        <x:v>0</x:v>
      </x:c>
      <x:c r="N897" s="5">
        <x:v>0.0</x:v>
      </x:c>
    </x:row>
    <x:row r="898" ht="24" customHeight="1">
      <x:c r="A898" s="1" t="inlineStr">
        <x:is>
          <x:t xml:space="preserve">RESULT</x:t>
        </x:is>
      </x:c>
      <x:c r="B898" s="1" t="inlineStr">
        <x:is>
          <x:t xml:space="preserve">Round2</x:t>
        </x:is>
      </x:c>
      <x:c r="C898" s="1" t="inlineStr">
        <x:is>
          <x:t xml:space="preserve">Cli_26</x:t>
        </x:is>
      </x:c>
      <x:c r="D898" s="1" t="inlineStr">
        <x:is>
          <x:t xml:space="preserve">NOT_AVAILABLE</x:t>
        </x:is>
      </x:c>
      <x:c r="E898" s="5"/>
      <x:c r="F898" s="4">
        <x:v>0</x:v>
      </x:c>
      <x:c r="G898" s="4">
        <x:v>27088</x:v>
      </x:c>
      <x:c r="H898" s="6">
        <x:v>564.09</x:v>
      </x:c>
      <x:c r="I898" s="16">
        <x:v>1</x:v>
      </x:c>
      <x:c r="J898"/>
      <x:c r="K898" s="4"/>
      <x:c r="L898" s="4"/>
      <x:c r="M898" s="4"/>
      <x:c r="N898" s="5"/>
    </x:row>
    <x:row r="899" ht="24" customHeight="1">
      <x:c r="A899" s="1" t="inlineStr">
        <x:is>
          <x:t xml:space="preserve">RESULT</x:t>
        </x:is>
      </x:c>
      <x:c r="B899" s="1" t="inlineStr">
        <x:is>
          <x:t xml:space="preserve">Round2</x:t>
        </x:is>
      </x:c>
      <x:c r="C899" s="1" t="inlineStr">
        <x:is>
          <x:t xml:space="preserve">Cli_27</x:t>
        </x:is>
      </x:c>
      <x:c r="D899" s="1" t="inlineStr">
        <x:is>
          <x:t xml:space="preserve">INCONCLUSIVE</x:t>
        </x:is>
      </x:c>
      <x:c r="E899" s="5">
        <x:v>0.0</x:v>
      </x:c>
      <x:c r="F899" s="4">
        <x:v>0</x:v>
      </x:c>
      <x:c r="G899" s="4"/>
      <x:c r="H899" s="6"/>
      <x:c r="I899" s="16">
        <x:v>1</x:v>
      </x:c>
      <x:c r="J899">
        <x:v>34</x:v>
      </x:c>
      <x:c r="K899" s="4">
        <x:v>0</x:v>
      </x:c>
      <x:c r="L899" s="4">
        <x:v>12</x:v>
      </x:c>
      <x:c r="M899" s="4">
        <x:v>0</x:v>
      </x:c>
      <x:c r="N899" s="5">
        <x:v>0.0</x:v>
      </x:c>
    </x:row>
    <x:row r="900" ht="24" customHeight="1">
      <x:c r="A900" s="1" t="inlineStr">
        <x:is>
          <x:t xml:space="preserve">RESULT</x:t>
        </x:is>
      </x:c>
      <x:c r="B900" s="1" t="inlineStr">
        <x:is>
          <x:t xml:space="preserve">Round2</x:t>
        </x:is>
      </x:c>
      <x:c r="C900" s="1" t="inlineStr">
        <x:is>
          <x:t xml:space="preserve">Cli_28</x:t>
        </x:is>
      </x:c>
      <x:c r="D900" s="1" t="inlineStr">
        <x:is>
          <x:t xml:space="preserve">INCONCLUSIVE</x:t>
        </x:is>
      </x:c>
      <x:c r="E900" s="5">
        <x:v>0.0</x:v>
      </x:c>
      <x:c r="F900" s="4">
        <x:v>0</x:v>
      </x:c>
      <x:c r="G900" s="4">
        <x:v>31395</x:v>
      </x:c>
      <x:c r="H900" s="6">
        <x:v>642.56</x:v>
      </x:c>
      <x:c r="I900" s="16">
        <x:v>1</x:v>
      </x:c>
      <x:c r="J900">
        <x:v>101</x:v>
      </x:c>
      <x:c r="K900" s="4">
        <x:v>0</x:v>
      </x:c>
      <x:c r="L900" s="4">
        <x:v>68</x:v>
      </x:c>
      <x:c r="M900" s="4">
        <x:v>0</x:v>
      </x:c>
      <x:c r="N900" s="5">
        <x:v>0.0</x:v>
      </x:c>
    </x:row>
    <x:row r="901" ht="24" customHeight="1">
      <x:c r="A901" s="1" t="inlineStr">
        <x:is>
          <x:t xml:space="preserve">RESULT</x:t>
        </x:is>
      </x:c>
      <x:c r="B901" s="1" t="inlineStr">
        <x:is>
          <x:t xml:space="preserve">Round2</x:t>
        </x:is>
      </x:c>
      <x:c r="C901" s="1" t="inlineStr">
        <x:is>
          <x:t xml:space="preserve">Cli_29</x:t>
        </x:is>
      </x:c>
      <x:c r="D901" s="1" t="inlineStr">
        <x:is>
          <x:t xml:space="preserve">INCONCLUSIVE</x:t>
        </x:is>
      </x:c>
      <x:c r="E901" s="5">
        <x:v>0.0</x:v>
      </x:c>
      <x:c r="F901" s="4">
        <x:v>0</x:v>
      </x:c>
      <x:c r="G901" s="4"/>
      <x:c r="H901" s="6"/>
      <x:c r="I901" s="16">
        <x:v>1</x:v>
      </x:c>
      <x:c r="J901">
        <x:v>14</x:v>
      </x:c>
      <x:c r="K901" s="4">
        <x:v>0</x:v>
      </x:c>
      <x:c r="L901" s="4">
        <x:v>10</x:v>
      </x:c>
      <x:c r="M901" s="4">
        <x:v>0</x:v>
      </x:c>
      <x:c r="N901" s="5">
        <x:v>0.0</x:v>
      </x:c>
    </x:row>
    <x:row r="902" ht="24" customHeight="1">
      <x:c r="A902" s="1" t="inlineStr">
        <x:is>
          <x:t xml:space="preserve">RESULT</x:t>
        </x:is>
      </x:c>
      <x:c r="B902" s="1" t="inlineStr">
        <x:is>
          <x:t xml:space="preserve">Round2</x:t>
        </x:is>
      </x:c>
      <x:c r="C902" s="1" t="inlineStr">
        <x:is>
          <x:t xml:space="preserve">Cli_3</x:t>
        </x:is>
      </x:c>
      <x:c r="D902" s="1" t="inlineStr">
        <x:is>
          <x:t xml:space="preserve">INCONCLUSIVE</x:t>
        </x:is>
      </x:c>
      <x:c r="E902" s="5">
        <x:v>0.0</x:v>
      </x:c>
      <x:c r="F902" s="4">
        <x:v>0</x:v>
      </x:c>
      <x:c r="G902" s="4"/>
      <x:c r="H902" s="6"/>
      <x:c r="I902" s="16">
        <x:v>1</x:v>
      </x:c>
      <x:c r="J902">
        <x:v>55</x:v>
      </x:c>
      <x:c r="K902" s="4">
        <x:v>0</x:v>
      </x:c>
      <x:c r="L902" s="4">
        <x:v>20</x:v>
      </x:c>
      <x:c r="M902" s="4">
        <x:v>0</x:v>
      </x:c>
      <x:c r="N902" s="5">
        <x:v>0.0</x:v>
      </x:c>
    </x:row>
    <x:row r="903" ht="24" customHeight="1">
      <x:c r="A903" s="1" t="inlineStr">
        <x:is>
          <x:t xml:space="preserve">RESULT</x:t>
        </x:is>
      </x:c>
      <x:c r="B903" s="1" t="inlineStr">
        <x:is>
          <x:t xml:space="preserve">Round2</x:t>
        </x:is>
      </x:c>
      <x:c r="C903" s="1" t="inlineStr">
        <x:is>
          <x:t xml:space="preserve">Cli_30</x:t>
        </x:is>
      </x:c>
      <x:c r="D903" s="1" t="inlineStr">
        <x:is>
          <x:t xml:space="preserve">INCONCLUSIVE</x:t>
        </x:is>
      </x:c>
      <x:c r="E903" s="5">
        <x:v>0.0</x:v>
      </x:c>
      <x:c r="F903" s="4">
        <x:v>0</x:v>
      </x:c>
      <x:c r="G903" s="4">
        <x:v>61030</x:v>
      </x:c>
      <x:c r="H903" s="6">
        <x:v>1280.86</x:v>
      </x:c>
      <x:c r="I903" s="16">
        <x:v>1</x:v>
      </x:c>
      <x:c r="J903">
        <x:v>288</x:v>
      </x:c>
      <x:c r="K903" s="4">
        <x:v>0</x:v>
      </x:c>
      <x:c r="L903" s="4">
        <x:v>218</x:v>
      </x:c>
      <x:c r="M903" s="4">
        <x:v>0</x:v>
      </x:c>
      <x:c r="N903" s="5">
        <x:v>0.0</x:v>
      </x:c>
    </x:row>
    <x:row r="904" ht="24" customHeight="1">
      <x:c r="A904" s="1" t="inlineStr">
        <x:is>
          <x:t xml:space="preserve">RESULT</x:t>
        </x:is>
      </x:c>
      <x:c r="B904" s="1" t="inlineStr">
        <x:is>
          <x:t xml:space="preserve">Round2</x:t>
        </x:is>
      </x:c>
      <x:c r="C904" s="1" t="inlineStr">
        <x:is>
          <x:t xml:space="preserve">Cli_31</x:t>
        </x:is>
      </x:c>
      <x:c r="D904" s="1" t="inlineStr">
        <x:is>
          <x:t xml:space="preserve">NOT_AVAILABLE</x:t>
        </x:is>
      </x:c>
      <x:c r="E904" s="5"/>
      <x:c r="F904" s="4">
        <x:v>0</x:v>
      </x:c>
      <x:c r="G904" s="4">
        <x:v>76957</x:v>
      </x:c>
      <x:c r="H904" s="6">
        <x:v>1612.14</x:v>
      </x:c>
      <x:c r="I904" s="16">
        <x:v>1</x:v>
      </x:c>
      <x:c r="J904"/>
      <x:c r="K904" s="4"/>
      <x:c r="L904" s="4"/>
      <x:c r="M904" s="4"/>
      <x:c r="N904" s="5"/>
    </x:row>
    <x:row r="905" ht="24" customHeight="1">
      <x:c r="A905" s="1" t="inlineStr">
        <x:is>
          <x:t xml:space="preserve">RESULT</x:t>
        </x:is>
      </x:c>
      <x:c r="B905" s="1" t="inlineStr">
        <x:is>
          <x:t xml:space="preserve">Round2</x:t>
        </x:is>
      </x:c>
      <x:c r="C905" s="1" t="inlineStr">
        <x:is>
          <x:t xml:space="preserve">Cli_32</x:t>
        </x:is>
      </x:c>
      <x:c r="D905" s="1" t="inlineStr">
        <x:is>
          <x:t xml:space="preserve">INCONCLUSIVE</x:t>
        </x:is>
      </x:c>
      <x:c r="E905" s="5">
        <x:v>0.0</x:v>
      </x:c>
      <x:c r="F905" s="4">
        <x:v>0</x:v>
      </x:c>
      <x:c r="G905" s="4">
        <x:v>31495</x:v>
      </x:c>
      <x:c r="H905" s="6">
        <x:v>689.01</x:v>
      </x:c>
      <x:c r="I905" s="16">
        <x:v>1</x:v>
      </x:c>
      <x:c r="J905">
        <x:v>203</x:v>
      </x:c>
      <x:c r="K905" s="4">
        <x:v>0</x:v>
      </x:c>
      <x:c r="L905" s="4">
        <x:v>122</x:v>
      </x:c>
      <x:c r="M905" s="4">
        <x:v>0</x:v>
      </x:c>
      <x:c r="N905" s="5">
        <x:v>0.0</x:v>
      </x:c>
    </x:row>
    <x:row r="906" ht="24" customHeight="1">
      <x:c r="A906" s="1" t="inlineStr">
        <x:is>
          <x:t xml:space="preserve">RESULT</x:t>
        </x:is>
      </x:c>
      <x:c r="B906" s="1" t="inlineStr">
        <x:is>
          <x:t xml:space="preserve">Round2</x:t>
        </x:is>
      </x:c>
      <x:c r="C906" s="1" t="inlineStr">
        <x:is>
          <x:t xml:space="preserve">Cli_33</x:t>
        </x:is>
      </x:c>
      <x:c r="D906" s="1" t="inlineStr">
        <x:is>
          <x:t xml:space="preserve">INCONCLUSIVE</x:t>
        </x:is>
      </x:c>
      <x:c r="E906" s="5">
        <x:v>0.0</x:v>
      </x:c>
      <x:c r="F906" s="4">
        <x:v>0</x:v>
      </x:c>
      <x:c r="G906" s="4"/>
      <x:c r="H906" s="6"/>
      <x:c r="I906" s="16">
        <x:v>1</x:v>
      </x:c>
      <x:c r="J906">
        <x:v>201</x:v>
      </x:c>
      <x:c r="K906" s="4">
        <x:v>0</x:v>
      </x:c>
      <x:c r="L906" s="4">
        <x:v>114</x:v>
      </x:c>
      <x:c r="M906" s="4">
        <x:v>0</x:v>
      </x:c>
      <x:c r="N906" s="5">
        <x:v>0.0</x:v>
      </x:c>
    </x:row>
    <x:row r="907" ht="24" customHeight="1">
      <x:c r="A907" s="1" t="inlineStr">
        <x:is>
          <x:t xml:space="preserve">RESULT</x:t>
        </x:is>
      </x:c>
      <x:c r="B907" s="1" t="inlineStr">
        <x:is>
          <x:t xml:space="preserve">Round2</x:t>
        </x:is>
      </x:c>
      <x:c r="C907" s="1" t="inlineStr">
        <x:is>
          <x:t xml:space="preserve">Cli_34</x:t>
        </x:is>
      </x:c>
      <x:c r="D907" s="1" t="inlineStr">
        <x:is>
          <x:t xml:space="preserve">NOT_AVAILABLE</x:t>
        </x:is>
      </x:c>
      <x:c r="E907" s="5"/>
      <x:c r="F907" s="4">
        <x:v>0</x:v>
      </x:c>
      <x:c r="G907" s="4">
        <x:v>44502</x:v>
      </x:c>
      <x:c r="H907" s="6">
        <x:v>920.63</x:v>
      </x:c>
      <x:c r="I907" s="16">
        <x:v>1</x:v>
      </x:c>
      <x:c r="J907"/>
      <x:c r="K907" s="4"/>
      <x:c r="L907" s="4"/>
      <x:c r="M907" s="4"/>
      <x:c r="N907" s="5"/>
    </x:row>
    <x:row r="908" ht="24" customHeight="1">
      <x:c r="A908" s="1" t="inlineStr">
        <x:is>
          <x:t xml:space="preserve">RESULT</x:t>
        </x:is>
      </x:c>
      <x:c r="B908" s="1" t="inlineStr">
        <x:is>
          <x:t xml:space="preserve">Round2</x:t>
        </x:is>
      </x:c>
      <x:c r="C908" s="1" t="inlineStr">
        <x:is>
          <x:t xml:space="preserve">Cli_35</x:t>
        </x:is>
      </x:c>
      <x:c r="D908" s="1" t="inlineStr">
        <x:is>
          <x:t xml:space="preserve">INCONCLUSIVE</x:t>
        </x:is>
      </x:c>
      <x:c r="E908" s="5">
        <x:v>0.9473999999999999</x:v>
      </x:c>
      <x:c r="F908" s="4">
        <x:v>0</x:v>
      </x:c>
      <x:c r="G908" s="4"/>
      <x:c r="H908" s="6"/>
      <x:c r="I908" s="16">
        <x:v>1</x:v>
      </x:c>
      <x:c r="J908">
        <x:v>57</x:v>
      </x:c>
      <x:c r="K908" s="4">
        <x:v>54</x:v>
      </x:c>
      <x:c r="L908" s="4">
        <x:v>20</x:v>
      </x:c>
      <x:c r="M908" s="4">
        <x:v>19</x:v>
      </x:c>
      <x:c r="N908" s="5">
        <x:v>0.95</x:v>
      </x:c>
    </x:row>
    <x:row r="909" ht="24" customHeight="1">
      <x:c r="A909" s="1" t="inlineStr">
        <x:is>
          <x:t xml:space="preserve">RESULT</x:t>
        </x:is>
      </x:c>
      <x:c r="B909" s="1" t="inlineStr">
        <x:is>
          <x:t xml:space="preserve">Round2</x:t>
        </x:is>
      </x:c>
      <x:c r="C909" s="1" t="inlineStr">
        <x:is>
          <x:t xml:space="preserve">Cli_36</x:t>
        </x:is>
      </x:c>
      <x:c r="D909" s="1" t="inlineStr">
        <x:is>
          <x:t xml:space="preserve">NOT_AVAILABLE</x:t>
        </x:is>
      </x:c>
      <x:c r="E909" s="5"/>
      <x:c r="F909" s="4">
        <x:v>0</x:v>
      </x:c>
      <x:c r="G909" s="4">
        <x:v>33157</x:v>
      </x:c>
      <x:c r="H909" s="6">
        <x:v>683.13</x:v>
      </x:c>
      <x:c r="I909" s="16">
        <x:v>1</x:v>
      </x:c>
      <x:c r="J909"/>
      <x:c r="K909" s="4"/>
      <x:c r="L909" s="4"/>
      <x:c r="M909" s="4"/>
      <x:c r="N909" s="5"/>
    </x:row>
    <x:row r="910" ht="24" customHeight="1">
      <x:c r="A910" s="1" t="inlineStr">
        <x:is>
          <x:t xml:space="preserve">RESULT</x:t>
        </x:is>
      </x:c>
      <x:c r="B910" s="1" t="inlineStr">
        <x:is>
          <x:t xml:space="preserve">Round2</x:t>
        </x:is>
      </x:c>
      <x:c r="C910" s="1" t="inlineStr">
        <x:is>
          <x:t xml:space="preserve">Cli_37</x:t>
        </x:is>
      </x:c>
      <x:c r="D910" s="1" t="inlineStr">
        <x:is>
          <x:t xml:space="preserve">NOT_REVEALING</x:t>
        </x:is>
      </x:c>
      <x:c r="E910" s="5">
        <x:v>0.8449</x:v>
      </x:c>
      <x:c r="F910" s="4">
        <x:v>0</x:v>
      </x:c>
      <x:c r="G910" s="4">
        <x:v>32282</x:v>
      </x:c>
      <x:c r="H910" s="6">
        <x:v>664.89</x:v>
      </x:c>
      <x:c r="I910" s="16">
        <x:v>1</x:v>
      </x:c>
      <x:c r="J910">
        <x:v>187</x:v>
      </x:c>
      <x:c r="K910" s="4">
        <x:v>158</x:v>
      </x:c>
      <x:c r="L910" s="4">
        <x:v>158</x:v>
      </x:c>
      <x:c r="M910" s="4">
        <x:v>102</x:v>
      </x:c>
      <x:c r="N910" s="5">
        <x:v>0.6456000000000001</x:v>
      </x:c>
    </x:row>
    <x:row r="911" ht="24" customHeight="1">
      <x:c r="A911" s="1" t="inlineStr">
        <x:is>
          <x:t xml:space="preserve">RESULT</x:t>
        </x:is>
      </x:c>
      <x:c r="B911" s="1" t="inlineStr">
        <x:is>
          <x:t xml:space="preserve">Round2</x:t>
        </x:is>
      </x:c>
      <x:c r="C911" s="1" t="inlineStr">
        <x:is>
          <x:t xml:space="preserve">Cli_38</x:t>
        </x:is>
      </x:c>
      <x:c r="D911" s="1" t="inlineStr">
        <x:is>
          <x:t xml:space="preserve">NOT_REVEALING</x:t>
        </x:is>
      </x:c>
      <x:c r="E911" s="5">
        <x:v>0.8377</x:v>
      </x:c>
      <x:c r="F911" s="4">
        <x:v>0</x:v>
      </x:c>
      <x:c r="G911" s="4">
        <x:v>24149</x:v>
      </x:c>
      <x:c r="H911" s="6">
        <x:v>485.83</x:v>
      </x:c>
      <x:c r="I911" s="16">
        <x:v>1</x:v>
      </x:c>
      <x:c r="J911">
        <x:v>191</x:v>
      </x:c>
      <x:c r="K911" s="4">
        <x:v>160</x:v>
      </x:c>
      <x:c r="L911" s="4">
        <x:v>158</x:v>
      </x:c>
      <x:c r="M911" s="4">
        <x:v>101</x:v>
      </x:c>
      <x:c r="N911" s="5">
        <x:v>0.6392</x:v>
      </x:c>
    </x:row>
    <x:row r="912" ht="24" customHeight="1">
      <x:c r="A912" s="1" t="inlineStr">
        <x:is>
          <x:t xml:space="preserve">RESULT</x:t>
        </x:is>
      </x:c>
      <x:c r="B912" s="1" t="inlineStr">
        <x:is>
          <x:t xml:space="preserve">Round2</x:t>
        </x:is>
      </x:c>
      <x:c r="C912" s="1" t="inlineStr">
        <x:is>
          <x:t xml:space="preserve">Cli_39</x:t>
        </x:is>
      </x:c>
      <x:c r="D912" s="1" t="inlineStr">
        <x:is>
          <x:t xml:space="preserve">INCONCLUSIVE</x:t>
        </x:is>
      </x:c>
      <x:c r="E912" s="5">
        <x:v>0.8571</x:v>
      </x:c>
      <x:c r="F912" s="4">
        <x:v>0</x:v>
      </x:c>
      <x:c r="G912" s="4"/>
      <x:c r="H912" s="6"/>
      <x:c r="I912" s="16">
        <x:v>1</x:v>
      </x:c>
      <x:c r="J912">
        <x:v>42</x:v>
      </x:c>
      <x:c r="K912" s="4">
        <x:v>36</x:v>
      </x:c>
      <x:c r="L912" s="4">
        <x:v>20</x:v>
      </x:c>
      <x:c r="M912" s="4">
        <x:v>16</x:v>
      </x:c>
      <x:c r="N912" s="5">
        <x:v>0.8</x:v>
      </x:c>
    </x:row>
    <x:row r="913" ht="24" customHeight="1">
      <x:c r="A913" s="1" t="inlineStr">
        <x:is>
          <x:t xml:space="preserve">RESULT</x:t>
        </x:is>
      </x:c>
      <x:c r="B913" s="1" t="inlineStr">
        <x:is>
          <x:t xml:space="preserve">Round2</x:t>
        </x:is>
      </x:c>
      <x:c r="C913" s="1" t="inlineStr">
        <x:is>
          <x:t xml:space="preserve">Cli_4</x:t>
        </x:is>
      </x:c>
      <x:c r="D913" s="1" t="inlineStr">
        <x:is>
          <x:t xml:space="preserve">INCONCLUSIVE</x:t>
        </x:is>
      </x:c>
      <x:c r="E913" s="5">
        <x:v>0.0</x:v>
      </x:c>
      <x:c r="F913" s="4">
        <x:v>0</x:v>
      </x:c>
      <x:c r="G913" s="4"/>
      <x:c r="H913" s="6"/>
      <x:c r="I913" s="16">
        <x:v>1</x:v>
      </x:c>
      <x:c r="J913">
        <x:v>99</x:v>
      </x:c>
      <x:c r="K913" s="4">
        <x:v>0</x:v>
      </x:c>
      <x:c r="L913" s="4">
        <x:v>68</x:v>
      </x:c>
      <x:c r="M913" s="4">
        <x:v>0</x:v>
      </x:c>
      <x:c r="N913" s="5">
        <x:v>0.0</x:v>
      </x:c>
    </x:row>
    <x:row r="914" ht="24" customHeight="1">
      <x:c r="A914" s="1" t="inlineStr">
        <x:is>
          <x:t xml:space="preserve">RESULT</x:t>
        </x:is>
      </x:c>
      <x:c r="B914" s="1" t="inlineStr">
        <x:is>
          <x:t xml:space="preserve">Round2</x:t>
        </x:is>
      </x:c>
      <x:c r="C914" s="1" t="inlineStr">
        <x:is>
          <x:t xml:space="preserve">Cli_40</x:t>
        </x:is>
      </x:c>
      <x:c r="D914" s="1" t="inlineStr">
        <x:is>
          <x:t xml:space="preserve">NOT_AVAILABLE</x:t>
        </x:is>
      </x:c>
      <x:c r="E914" s="5"/>
      <x:c r="F914" s="4">
        <x:v>0</x:v>
      </x:c>
      <x:c r="G914" s="4">
        <x:v>30498</x:v>
      </x:c>
      <x:c r="H914" s="6">
        <x:v>716.82</x:v>
      </x:c>
      <x:c r="I914" s="16">
        <x:v>1</x:v>
      </x:c>
      <x:c r="J914"/>
      <x:c r="K914" s="4"/>
      <x:c r="L914" s="4"/>
      <x:c r="M914" s="4"/>
      <x:c r="N914" s="5"/>
    </x:row>
    <x:row r="915" ht="24" customHeight="1">
      <x:c r="A915" s="1" t="inlineStr">
        <x:is>
          <x:t xml:space="preserve">RESULT</x:t>
        </x:is>
      </x:c>
      <x:c r="B915" s="1" t="inlineStr">
        <x:is>
          <x:t xml:space="preserve">Round2</x:t>
        </x:is>
      </x:c>
      <x:c r="C915" s="1" t="inlineStr">
        <x:is>
          <x:t xml:space="preserve">Cli_5</x:t>
        </x:is>
      </x:c>
      <x:c r="D915" s="1" t="inlineStr">
        <x:is>
          <x:t xml:space="preserve">INCONCLUSIVE</x:t>
        </x:is>
      </x:c>
      <x:c r="E915" s="5">
        <x:v>0.0</x:v>
      </x:c>
      <x:c r="F915" s="4">
        <x:v>0</x:v>
      </x:c>
      <x:c r="G915" s="4"/>
      <x:c r="H915" s="6"/>
      <x:c r="I915" s="16">
        <x:v>1</x:v>
      </x:c>
      <x:c r="J915">
        <x:v>11</x:v>
      </x:c>
      <x:c r="K915" s="4">
        <x:v>0</x:v>
      </x:c>
      <x:c r="L915" s="4">
        <x:v>8</x:v>
      </x:c>
      <x:c r="M915" s="4">
        <x:v>0</x:v>
      </x:c>
      <x:c r="N915" s="5">
        <x:v>0.0</x:v>
      </x:c>
    </x:row>
    <x:row r="916" ht="24" customHeight="1">
      <x:c r="A916" s="1" t="inlineStr">
        <x:is>
          <x:t xml:space="preserve">RESULT</x:t>
        </x:is>
      </x:c>
      <x:c r="B916" s="1" t="inlineStr">
        <x:is>
          <x:t xml:space="preserve">Round2</x:t>
        </x:is>
      </x:c>
      <x:c r="C916" s="1" t="inlineStr">
        <x:is>
          <x:t xml:space="preserve">Cli_7</x:t>
        </x:is>
      </x:c>
      <x:c r="D916" s="1" t="inlineStr">
        <x:is>
          <x:t xml:space="preserve">NOT_AVAILABLE</x:t>
        </x:is>
      </x:c>
      <x:c r="E916" s="5"/>
      <x:c r="F916" s="4">
        <x:v>0</x:v>
      </x:c>
      <x:c r="G916" s="4">
        <x:v>35845</x:v>
      </x:c>
      <x:c r="H916" s="6">
        <x:v>842.51</x:v>
      </x:c>
      <x:c r="I916" s="16">
        <x:v>1</x:v>
      </x:c>
      <x:c r="J916"/>
      <x:c r="K916" s="4"/>
      <x:c r="L916" s="4"/>
      <x:c r="M916" s="4"/>
      <x:c r="N916" s="5"/>
    </x:row>
    <x:row r="917" ht="24" customHeight="1">
      <x:c r="A917" s="1" t="inlineStr">
        <x:is>
          <x:t xml:space="preserve">RESULT</x:t>
        </x:is>
      </x:c>
      <x:c r="B917" s="1" t="inlineStr">
        <x:is>
          <x:t xml:space="preserve">Round2</x:t>
        </x:is>
      </x:c>
      <x:c r="C917" s="1" t="inlineStr">
        <x:is>
          <x:t xml:space="preserve">Cli_8</x:t>
        </x:is>
      </x:c>
      <x:c r="D917" s="1" t="inlineStr">
        <x:is>
          <x:t xml:space="preserve">INCONCLUSIVE</x:t>
        </x:is>
      </x:c>
      <x:c r="E917" s="5">
        <x:v>0.0</x:v>
      </x:c>
      <x:c r="F917" s="4">
        <x:v>0</x:v>
      </x:c>
      <x:c r="G917" s="4"/>
      <x:c r="H917" s="6"/>
      <x:c r="I917" s="16">
        <x:v>1</x:v>
      </x:c>
      <x:c r="J917">
        <x:v>192</x:v>
      </x:c>
      <x:c r="K917" s="4">
        <x:v>0</x:v>
      </x:c>
      <x:c r="L917" s="4">
        <x:v>104</x:v>
      </x:c>
      <x:c r="M917" s="4">
        <x:v>0</x:v>
      </x:c>
      <x:c r="N917" s="5">
        <x:v>0.0</x:v>
      </x:c>
    </x:row>
    <x:row r="918" ht="24" customHeight="1">
      <x:c r="A918" s="1" t="inlineStr">
        <x:is>
          <x:t xml:space="preserve">RESULT</x:t>
        </x:is>
      </x:c>
      <x:c r="B918" s="1" t="inlineStr">
        <x:is>
          <x:t xml:space="preserve">Round2</x:t>
        </x:is>
      </x:c>
      <x:c r="C918" s="1" t="inlineStr">
        <x:is>
          <x:t xml:space="preserve">Cli_9</x:t>
        </x:is>
      </x:c>
      <x:c r="D918" s="1" t="inlineStr">
        <x:is>
          <x:t xml:space="preserve">NOT_AVAILABLE</x:t>
        </x:is>
      </x:c>
      <x:c r="E918" s="5"/>
      <x:c r="F918" s="4">
        <x:v>0</x:v>
      </x:c>
      <x:c r="G918" s="4">
        <x:v>29868</x:v>
      </x:c>
      <x:c r="H918" s="6">
        <x:v>680.54</x:v>
      </x:c>
      <x:c r="I918" s="16">
        <x:v>1</x:v>
      </x:c>
      <x:c r="J918"/>
      <x:c r="K918" s="4"/>
      <x:c r="L918" s="4"/>
      <x:c r="M918" s="4"/>
      <x:c r="N918" s="5"/>
    </x:row>
    <x:row r="919" ht="24" customHeight="1">
      <x:c r="A919" s="1" t="inlineStr">
        <x:is>
          <x:t xml:space="preserve">RESULT</x:t>
        </x:is>
      </x:c>
      <x:c r="B919" s="1" t="inlineStr">
        <x:is>
          <x:t xml:space="preserve">Round2</x:t>
        </x:is>
      </x:c>
      <x:c r="C919" s="1" t="inlineStr">
        <x:is>
          <x:t xml:space="preserve">Closure_1</x:t>
        </x:is>
      </x:c>
      <x:c r="D919" s="1" t="inlineStr">
        <x:is>
          <x:t xml:space="preserve">NOT_AVAILABLE</x:t>
        </x:is>
      </x:c>
      <x:c r="E919" s="5"/>
      <x:c r="F919" s="4">
        <x:v>0</x:v>
      </x:c>
      <x:c r="G919" s="4">
        <x:v>27717</x:v>
      </x:c>
      <x:c r="H919" s="6">
        <x:v>547.23</x:v>
      </x:c>
      <x:c r="I919" s="16">
        <x:v>1</x:v>
      </x:c>
      <x:c r="J919"/>
      <x:c r="K919" s="4"/>
      <x:c r="L919" s="4"/>
      <x:c r="M919" s="4"/>
      <x:c r="N919" s="5"/>
    </x:row>
    <x:row r="920" ht="24" customHeight="1">
      <x:c r="A920" s="1" t="inlineStr">
        <x:is>
          <x:t xml:space="preserve">RESULT</x:t>
        </x:is>
      </x:c>
      <x:c r="B920" s="1" t="inlineStr">
        <x:is>
          <x:t xml:space="preserve">Round2</x:t>
        </x:is>
      </x:c>
      <x:c r="C920" s="1" t="inlineStr">
        <x:is>
          <x:t xml:space="preserve">Closure_10</x:t>
        </x:is>
      </x:c>
      <x:c r="D920" s="1" t="inlineStr">
        <x:is>
          <x:t xml:space="preserve">INCONCLUSIVE</x:t>
        </x:is>
      </x:c>
      <x:c r="E920" s="5">
        <x:v>0.0727</x:v>
      </x:c>
      <x:c r="F920" s="4">
        <x:v>0</x:v>
      </x:c>
      <x:c r="G920" s="4">
        <x:v>44147</x:v>
      </x:c>
      <x:c r="H920" s="6">
        <x:v>687.03</x:v>
      </x:c>
      <x:c r="I920" s="16">
        <x:v>1</x:v>
      </x:c>
      <x:c r="J920">
        <x:v>1031</x:v>
      </x:c>
      <x:c r="K920" s="4">
        <x:v>75</x:v>
      </x:c>
      <x:c r="L920" s="4">
        <x:v>1028</x:v>
      </x:c>
      <x:c r="M920" s="4">
        <x:v>44</x:v>
      </x:c>
      <x:c r="N920" s="5">
        <x:v>0.042800000000000005</x:v>
      </x:c>
    </x:row>
    <x:row r="921" ht="24" customHeight="1">
      <x:c r="A921" s="1" t="inlineStr">
        <x:is>
          <x:t xml:space="preserve">RESULT</x:t>
        </x:is>
      </x:c>
      <x:c r="B921" s="1" t="inlineStr">
        <x:is>
          <x:t xml:space="preserve">Round2</x:t>
        </x:is>
      </x:c>
      <x:c r="C921" s="1" t="inlineStr">
        <x:is>
          <x:t xml:space="preserve">Closure_100</x:t>
        </x:is>
      </x:c>
      <x:c r="D921" s="1" t="inlineStr">
        <x:is>
          <x:t xml:space="preserve">NOT_AVAILABLE</x:t>
        </x:is>
      </x:c>
      <x:c r="E921" s="5"/>
      <x:c r="F921" s="4">
        <x:v>0</x:v>
      </x:c>
      <x:c r="G921" s="4">
        <x:v>33370</x:v>
      </x:c>
      <x:c r="H921" s="6">
        <x:v>765.17</x:v>
      </x:c>
      <x:c r="I921" s="16">
        <x:v>1</x:v>
      </x:c>
      <x:c r="J921"/>
      <x:c r="K921" s="4"/>
      <x:c r="L921" s="4"/>
      <x:c r="M921" s="4"/>
      <x:c r="N921" s="5"/>
    </x:row>
    <x:row r="922" ht="24" customHeight="1">
      <x:c r="A922" s="1" t="inlineStr">
        <x:is>
          <x:t xml:space="preserve">RESULT</x:t>
        </x:is>
      </x:c>
      <x:c r="B922" s="1" t="inlineStr">
        <x:is>
          <x:t xml:space="preserve">Round2</x:t>
        </x:is>
      </x:c>
      <x:c r="C922" s="1" t="inlineStr">
        <x:is>
          <x:t xml:space="preserve">Closure_101</x:t>
        </x:is>
      </x:c>
      <x:c r="D922" s="1" t="inlineStr">
        <x:is>
          <x:t xml:space="preserve">NOT_AVAILABLE</x:t>
        </x:is>
      </x:c>
      <x:c r="E922" s="5"/>
      <x:c r="F922" s="4">
        <x:v>0</x:v>
      </x:c>
      <x:c r="G922" s="4">
        <x:v>22802</x:v>
      </x:c>
      <x:c r="H922" s="6">
        <x:v>425.26</x:v>
      </x:c>
      <x:c r="I922" s="16">
        <x:v>1</x:v>
      </x:c>
      <x:c r="J922"/>
      <x:c r="K922" s="4"/>
      <x:c r="L922" s="4"/>
      <x:c r="M922" s="4"/>
      <x:c r="N922" s="5"/>
    </x:row>
    <x:row r="923" ht="24" customHeight="1">
      <x:c r="A923" s="1" t="inlineStr">
        <x:is>
          <x:t xml:space="preserve">RESULT</x:t>
        </x:is>
      </x:c>
      <x:c r="B923" s="1" t="inlineStr">
        <x:is>
          <x:t xml:space="preserve">Round2</x:t>
        </x:is>
      </x:c>
      <x:c r="C923" s="1" t="inlineStr">
        <x:is>
          <x:t xml:space="preserve">Closure_102</x:t>
        </x:is>
      </x:c>
      <x:c r="D923" s="1" t="inlineStr">
        <x:is>
          <x:t xml:space="preserve">INCONCLUSIVE</x:t>
        </x:is>
      </x:c>
      <x:c r="E923" s="5">
        <x:v>0.2527</x:v>
      </x:c>
      <x:c r="F923" s="4">
        <x:v>0</x:v>
      </x:c>
      <x:c r="G923" s="4">
        <x:v>19008</x:v>
      </x:c>
      <x:c r="H923" s="6">
        <x:v>333.24</x:v>
      </x:c>
      <x:c r="I923" s="16">
        <x:v>1</x:v>
      </x:c>
      <x:c r="J923">
        <x:v>186</x:v>
      </x:c>
      <x:c r="K923" s="4">
        <x:v>47</x:v>
      </x:c>
      <x:c r="L923" s="4">
        <x:v>109</x:v>
      </x:c>
      <x:c r="M923" s="4">
        <x:v>25</x:v>
      </x:c>
      <x:c r="N923" s="5">
        <x:v>0.22940000000000002</x:v>
      </x:c>
    </x:row>
    <x:row r="924" ht="24" customHeight="1">
      <x:c r="A924" s="1" t="inlineStr">
        <x:is>
          <x:t xml:space="preserve">RESULT</x:t>
        </x:is>
      </x:c>
      <x:c r="B924" s="1" t="inlineStr">
        <x:is>
          <x:t xml:space="preserve">Round2</x:t>
        </x:is>
      </x:c>
      <x:c r="C924" s="1" t="inlineStr">
        <x:is>
          <x:t xml:space="preserve">Closure_103</x:t>
        </x:is>
      </x:c>
      <x:c r="D924" s="1" t="inlineStr">
        <x:is>
          <x:t xml:space="preserve">NOT_AVAILABLE</x:t>
        </x:is>
      </x:c>
      <x:c r="E924" s="5"/>
      <x:c r="F924" s="4">
        <x:v>0</x:v>
      </x:c>
      <x:c r="G924" s="4">
        <x:v>39647</x:v>
      </x:c>
      <x:c r="H924" s="6">
        <x:v>545.66</x:v>
      </x:c>
      <x:c r="I924" s="16">
        <x:v>1</x:v>
      </x:c>
      <x:c r="J924"/>
      <x:c r="K924" s="4"/>
      <x:c r="L924" s="4"/>
      <x:c r="M924" s="4"/>
      <x:c r="N924" s="5"/>
    </x:row>
    <x:row r="925" ht="24" customHeight="1">
      <x:c r="A925" s="1" t="inlineStr">
        <x:is>
          <x:t xml:space="preserve">RESULT</x:t>
        </x:is>
      </x:c>
      <x:c r="B925" s="1" t="inlineStr">
        <x:is>
          <x:t xml:space="preserve">Round2</x:t>
        </x:is>
      </x:c>
      <x:c r="C925" s="1" t="inlineStr">
        <x:is>
          <x:t xml:space="preserve">Closure_104</x:t>
        </x:is>
      </x:c>
      <x:c r="D925" s="1" t="inlineStr">
        <x:is>
          <x:t xml:space="preserve">NOT_AVAILABLE</x:t>
        </x:is>
      </x:c>
      <x:c r="E925" s="5"/>
      <x:c r="F925" s="4">
        <x:v>0</x:v>
      </x:c>
      <x:c r="G925" s="4">
        <x:v>15828</x:v>
      </x:c>
      <x:c r="H925" s="6">
        <x:v>119.01</x:v>
      </x:c>
      <x:c r="I925" s="16">
        <x:v>1</x:v>
      </x:c>
      <x:c r="J925"/>
      <x:c r="K925" s="4"/>
      <x:c r="L925" s="4"/>
      <x:c r="M925" s="4"/>
      <x:c r="N925" s="5"/>
    </x:row>
    <x:row r="926" ht="24" customHeight="1">
      <x:c r="A926" s="1" t="inlineStr">
        <x:is>
          <x:t xml:space="preserve">RESULT</x:t>
        </x:is>
      </x:c>
      <x:c r="B926" s="1" t="inlineStr">
        <x:is>
          <x:t xml:space="preserve">Round2</x:t>
        </x:is>
      </x:c>
      <x:c r="C926" s="1" t="inlineStr">
        <x:is>
          <x:t xml:space="preserve">Closure_105</x:t>
        </x:is>
      </x:c>
      <x:c r="D926" s="1" t="inlineStr">
        <x:is>
          <x:t xml:space="preserve">NOT_AVAILABLE</x:t>
        </x:is>
      </x:c>
      <x:c r="E926" s="5"/>
      <x:c r="F926" s="4">
        <x:v>0</x:v>
      </x:c>
      <x:c r="G926" s="4">
        <x:v>34432</x:v>
      </x:c>
      <x:c r="H926" s="6">
        <x:v>1074.94</x:v>
      </x:c>
      <x:c r="I926" s="16">
        <x:v>1</x:v>
      </x:c>
      <x:c r="J926"/>
      <x:c r="K926" s="4"/>
      <x:c r="L926" s="4"/>
      <x:c r="M926" s="4"/>
      <x:c r="N926" s="5"/>
    </x:row>
    <x:row r="927" ht="24" customHeight="1">
      <x:c r="A927" s="1" t="inlineStr">
        <x:is>
          <x:t xml:space="preserve">RESULT</x:t>
        </x:is>
      </x:c>
      <x:c r="B927" s="1" t="inlineStr">
        <x:is>
          <x:t xml:space="preserve">Round2</x:t>
        </x:is>
      </x:c>
      <x:c r="C927" s="1" t="inlineStr">
        <x:is>
          <x:t xml:space="preserve">Closure_106</x:t>
        </x:is>
      </x:c>
      <x:c r="D927" s="1" t="inlineStr">
        <x:is>
          <x:t xml:space="preserve">NOT_AVAILABLE</x:t>
        </x:is>
      </x:c>
      <x:c r="E927" s="5"/>
      <x:c r="F927" s="4">
        <x:v>0</x:v>
      </x:c>
      <x:c r="G927" s="4">
        <x:v>21370</x:v>
      </x:c>
      <x:c r="H927" s="6">
        <x:v>112.86</x:v>
      </x:c>
      <x:c r="I927" s="16">
        <x:v>1</x:v>
      </x:c>
      <x:c r="J927"/>
      <x:c r="K927" s="4"/>
      <x:c r="L927" s="4"/>
      <x:c r="M927" s="4"/>
      <x:c r="N927" s="5"/>
    </x:row>
    <x:row r="928" ht="24" customHeight="1">
      <x:c r="A928" s="1" t="inlineStr">
        <x:is>
          <x:t xml:space="preserve">RESULT</x:t>
        </x:is>
      </x:c>
      <x:c r="B928" s="1" t="inlineStr">
        <x:is>
          <x:t xml:space="preserve">Round2</x:t>
        </x:is>
      </x:c>
      <x:c r="C928" s="1" t="inlineStr">
        <x:is>
          <x:t xml:space="preserve">Closure_107</x:t>
        </x:is>
      </x:c>
      <x:c r="D928" s="1" t="inlineStr">
        <x:is>
          <x:t xml:space="preserve">NOT_AVAILABLE</x:t>
        </x:is>
      </x:c>
      <x:c r="E928" s="5"/>
      <x:c r="F928" s="4">
        <x:v>0</x:v>
      </x:c>
      <x:c r="G928" s="4">
        <x:v>20643</x:v>
      </x:c>
      <x:c r="H928" s="6">
        <x:v>591.6</x:v>
      </x:c>
      <x:c r="I928" s="16">
        <x:v>1</x:v>
      </x:c>
      <x:c r="J928"/>
      <x:c r="K928" s="4"/>
      <x:c r="L928" s="4"/>
      <x:c r="M928" s="4"/>
      <x:c r="N928" s="5"/>
    </x:row>
    <x:row r="929" ht="24" customHeight="1">
      <x:c r="A929" s="1" t="inlineStr">
        <x:is>
          <x:t xml:space="preserve">RESULT</x:t>
        </x:is>
      </x:c>
      <x:c r="B929" s="1" t="inlineStr">
        <x:is>
          <x:t xml:space="preserve">Round2</x:t>
        </x:is>
      </x:c>
      <x:c r="C929" s="1" t="inlineStr">
        <x:is>
          <x:t xml:space="preserve">Closure_108</x:t>
        </x:is>
      </x:c>
      <x:c r="D929" s="1" t="inlineStr">
        <x:is>
          <x:t xml:space="preserve">NOT_AVAILABLE</x:t>
        </x:is>
      </x:c>
      <x:c r="E929" s="5"/>
      <x:c r="F929" s="4">
        <x:v>0</x:v>
      </x:c>
      <x:c r="G929" s="4">
        <x:v>20015</x:v>
      </x:c>
      <x:c r="H929" s="6">
        <x:v>128.63</x:v>
      </x:c>
      <x:c r="I929" s="16">
        <x:v>1</x:v>
      </x:c>
      <x:c r="J929"/>
      <x:c r="K929" s="4"/>
      <x:c r="L929" s="4"/>
      <x:c r="M929" s="4"/>
      <x:c r="N929" s="5"/>
    </x:row>
    <x:row r="930" ht="24" customHeight="1">
      <x:c r="A930" s="1" t="inlineStr">
        <x:is>
          <x:t xml:space="preserve">RESULT</x:t>
        </x:is>
      </x:c>
      <x:c r="B930" s="1" t="inlineStr">
        <x:is>
          <x:t xml:space="preserve">Round2</x:t>
        </x:is>
      </x:c>
      <x:c r="C930" s="1" t="inlineStr">
        <x:is>
          <x:t xml:space="preserve">Closure_109</x:t>
        </x:is>
      </x:c>
      <x:c r="D930" s="1" t="inlineStr">
        <x:is>
          <x:t xml:space="preserve">NOT_AVAILABLE</x:t>
        </x:is>
      </x:c>
      <x:c r="E930" s="5"/>
      <x:c r="F930" s="4">
        <x:v>0</x:v>
      </x:c>
      <x:c r="G930" s="4">
        <x:v>18234</x:v>
      </x:c>
      <x:c r="H930" s="6">
        <x:v>61.37</x:v>
      </x:c>
      <x:c r="I930" s="16">
        <x:v>1</x:v>
      </x:c>
      <x:c r="J930"/>
      <x:c r="K930" s="4"/>
      <x:c r="L930" s="4"/>
      <x:c r="M930" s="4"/>
      <x:c r="N930" s="5"/>
    </x:row>
    <x:row r="931" ht="24" customHeight="1">
      <x:c r="A931" s="1" t="inlineStr">
        <x:is>
          <x:t xml:space="preserve">RESULT</x:t>
        </x:is>
      </x:c>
      <x:c r="B931" s="1" t="inlineStr">
        <x:is>
          <x:t xml:space="preserve">Round2</x:t>
        </x:is>
      </x:c>
      <x:c r="C931" s="1" t="inlineStr">
        <x:is>
          <x:t xml:space="preserve">Closure_11</x:t>
        </x:is>
      </x:c>
      <x:c r="D931" s="1" t="inlineStr">
        <x:is>
          <x:t xml:space="preserve">NOT_AVAILABLE</x:t>
        </x:is>
      </x:c>
      <x:c r="E931" s="5"/>
      <x:c r="F931" s="4">
        <x:v>0</x:v>
      </x:c>
      <x:c r="G931" s="4">
        <x:v>45707</x:v>
      </x:c>
      <x:c r="H931" s="6">
        <x:v>308.33</x:v>
      </x:c>
      <x:c r="I931" s="16">
        <x:v>1</x:v>
      </x:c>
      <x:c r="J931"/>
      <x:c r="K931" s="4"/>
      <x:c r="L931" s="4"/>
      <x:c r="M931" s="4"/>
      <x:c r="N931" s="5"/>
    </x:row>
    <x:row r="932" ht="24" customHeight="1">
      <x:c r="A932" s="1" t="inlineStr">
        <x:is>
          <x:t xml:space="preserve">RESULT</x:t>
        </x:is>
      </x:c>
      <x:c r="B932" s="1" t="inlineStr">
        <x:is>
          <x:t xml:space="preserve">Round2</x:t>
        </x:is>
      </x:c>
      <x:c r="C932" s="1" t="inlineStr">
        <x:is>
          <x:t xml:space="preserve">Closure_110</x:t>
        </x:is>
      </x:c>
      <x:c r="D932" s="1" t="inlineStr">
        <x:is>
          <x:t xml:space="preserve">NOT_AVAILABLE</x:t>
        </x:is>
      </x:c>
      <x:c r="E932" s="5"/>
      <x:c r="F932" s="4">
        <x:v>0</x:v>
      </x:c>
      <x:c r="G932" s="4">
        <x:v>46815</x:v>
      </x:c>
      <x:c r="H932" s="6">
        <x:v>307.07</x:v>
      </x:c>
      <x:c r="I932" s="16">
        <x:v>1</x:v>
      </x:c>
      <x:c r="J932"/>
      <x:c r="K932" s="4"/>
      <x:c r="L932" s="4"/>
      <x:c r="M932" s="4"/>
      <x:c r="N932" s="5"/>
    </x:row>
    <x:row r="933" ht="24" customHeight="1">
      <x:c r="A933" s="1" t="inlineStr">
        <x:is>
          <x:t xml:space="preserve">RESULT</x:t>
        </x:is>
      </x:c>
      <x:c r="B933" s="1" t="inlineStr">
        <x:is>
          <x:t xml:space="preserve">Round2</x:t>
        </x:is>
      </x:c>
      <x:c r="C933" s="1" t="inlineStr">
        <x:is>
          <x:t xml:space="preserve">Closure_111</x:t>
        </x:is>
      </x:c>
      <x:c r="D933" s="1" t="inlineStr">
        <x:is>
          <x:t xml:space="preserve">NOT_AVAILABLE</x:t>
        </x:is>
      </x:c>
      <x:c r="E933" s="5"/>
      <x:c r="F933" s="4">
        <x:v>0</x:v>
      </x:c>
      <x:c r="G933" s="4">
        <x:v>11951</x:v>
      </x:c>
      <x:c r="H933" s="6">
        <x:v>40.05</x:v>
      </x:c>
      <x:c r="I933" s="16">
        <x:v>1</x:v>
      </x:c>
      <x:c r="J933"/>
      <x:c r="K933" s="4"/>
      <x:c r="L933" s="4"/>
      <x:c r="M933" s="4"/>
      <x:c r="N933" s="5"/>
    </x:row>
    <x:row r="934" ht="24" customHeight="1">
      <x:c r="A934" s="1" t="inlineStr">
        <x:is>
          <x:t xml:space="preserve">RESULT</x:t>
        </x:is>
      </x:c>
      <x:c r="B934" s="1" t="inlineStr">
        <x:is>
          <x:t xml:space="preserve">Round2</x:t>
        </x:is>
      </x:c>
      <x:c r="C934" s="1" t="inlineStr">
        <x:is>
          <x:t xml:space="preserve">Closure_112</x:t>
        </x:is>
      </x:c>
      <x:c r="D934" s="1" t="inlineStr">
        <x:is>
          <x:t xml:space="preserve">NOT_AVAILABLE</x:t>
        </x:is>
      </x:c>
      <x:c r="E934" s="5"/>
      <x:c r="F934" s="4">
        <x:v>0</x:v>
      </x:c>
      <x:c r="G934" s="4">
        <x:v>15257</x:v>
      </x:c>
      <x:c r="H934" s="6">
        <x:v>29.88</x:v>
      </x:c>
      <x:c r="I934" s="16">
        <x:v>1</x:v>
      </x:c>
      <x:c r="J934"/>
      <x:c r="K934" s="4"/>
      <x:c r="L934" s="4"/>
      <x:c r="M934" s="4"/>
      <x:c r="N934" s="5"/>
    </x:row>
    <x:row r="935" ht="24" customHeight="1">
      <x:c r="A935" s="1" t="inlineStr">
        <x:is>
          <x:t xml:space="preserve">RESULT</x:t>
        </x:is>
      </x:c>
      <x:c r="B935" s="1" t="inlineStr">
        <x:is>
          <x:t xml:space="preserve">Round2</x:t>
        </x:is>
      </x:c>
      <x:c r="C935" s="1" t="inlineStr">
        <x:is>
          <x:t xml:space="preserve">Closure_113</x:t>
        </x:is>
      </x:c>
      <x:c r="D935" s="1" t="inlineStr">
        <x:is>
          <x:t xml:space="preserve">NOT_AVAILABLE</x:t>
        </x:is>
      </x:c>
      <x:c r="E935" s="5"/>
      <x:c r="F935" s="4">
        <x:v>0</x:v>
      </x:c>
      <x:c r="G935" s="4">
        <x:v>24393</x:v>
      </x:c>
      <x:c r="H935" s="6">
        <x:v>397.5</x:v>
      </x:c>
      <x:c r="I935" s="16">
        <x:v>1</x:v>
      </x:c>
      <x:c r="J935"/>
      <x:c r="K935" s="4"/>
      <x:c r="L935" s="4"/>
      <x:c r="M935" s="4"/>
      <x:c r="N935" s="5"/>
    </x:row>
    <x:row r="936" ht="24" customHeight="1">
      <x:c r="A936" s="1" t="inlineStr">
        <x:is>
          <x:t xml:space="preserve">RESULT</x:t>
        </x:is>
      </x:c>
      <x:c r="B936" s="1" t="inlineStr">
        <x:is>
          <x:t xml:space="preserve">Round2</x:t>
        </x:is>
      </x:c>
      <x:c r="C936" s="1" t="inlineStr">
        <x:is>
          <x:t xml:space="preserve">Closure_114</x:t>
        </x:is>
      </x:c>
      <x:c r="D936" s="1" t="inlineStr">
        <x:is>
          <x:t xml:space="preserve">NOT_AVAILABLE</x:t>
        </x:is>
      </x:c>
      <x:c r="E936" s="5"/>
      <x:c r="F936" s="4">
        <x:v>0</x:v>
      </x:c>
      <x:c r="G936" s="4">
        <x:v>33687</x:v>
      </x:c>
      <x:c r="H936" s="6">
        <x:v>202.33</x:v>
      </x:c>
      <x:c r="I936" s="16">
        <x:v>1</x:v>
      </x:c>
      <x:c r="J936"/>
      <x:c r="K936" s="4"/>
      <x:c r="L936" s="4"/>
      <x:c r="M936" s="4"/>
      <x:c r="N936" s="5"/>
    </x:row>
    <x:row r="937" ht="24" customHeight="1">
      <x:c r="A937" s="1" t="inlineStr">
        <x:is>
          <x:t xml:space="preserve">RESULT</x:t>
        </x:is>
      </x:c>
      <x:c r="B937" s="1" t="inlineStr">
        <x:is>
          <x:t xml:space="preserve">Round2</x:t>
        </x:is>
      </x:c>
      <x:c r="C937" s="1" t="inlineStr">
        <x:is>
          <x:t xml:space="preserve">Closure_115</x:t>
        </x:is>
      </x:c>
      <x:c r="D937" s="1" t="inlineStr">
        <x:is>
          <x:t xml:space="preserve">NOT_AVAILABLE</x:t>
        </x:is>
      </x:c>
      <x:c r="E937" s="5"/>
      <x:c r="F937" s="4">
        <x:v>0</x:v>
      </x:c>
      <x:c r="G937" s="4">
        <x:v>10158</x:v>
      </x:c>
      <x:c r="H937" s="6">
        <x:v>208.9</x:v>
      </x:c>
      <x:c r="I937" s="16">
        <x:v>1</x:v>
      </x:c>
      <x:c r="J937"/>
      <x:c r="K937" s="4"/>
      <x:c r="L937" s="4"/>
      <x:c r="M937" s="4"/>
      <x:c r="N937" s="5"/>
    </x:row>
    <x:row r="938" ht="24" customHeight="1">
      <x:c r="A938" s="1" t="inlineStr">
        <x:is>
          <x:t xml:space="preserve">RESULT</x:t>
        </x:is>
      </x:c>
      <x:c r="B938" s="1" t="inlineStr">
        <x:is>
          <x:t xml:space="preserve">Round2</x:t>
        </x:is>
      </x:c>
      <x:c r="C938" s="1" t="inlineStr">
        <x:is>
          <x:t xml:space="preserve">Closure_116</x:t>
        </x:is>
      </x:c>
      <x:c r="D938" s="1" t="inlineStr">
        <x:is>
          <x:t xml:space="preserve">NOT_AVAILABLE</x:t>
        </x:is>
      </x:c>
      <x:c r="E938" s="5"/>
      <x:c r="F938" s="4">
        <x:v>0</x:v>
      </x:c>
      <x:c r="G938" s="4">
        <x:v>21295</x:v>
      </x:c>
      <x:c r="H938" s="6">
        <x:v>146.65</x:v>
      </x:c>
      <x:c r="I938" s="16">
        <x:v>1</x:v>
      </x:c>
      <x:c r="J938"/>
      <x:c r="K938" s="4"/>
      <x:c r="L938" s="4"/>
      <x:c r="M938" s="4"/>
      <x:c r="N938" s="5"/>
    </x:row>
    <x:row r="939" ht="24" customHeight="1">
      <x:c r="A939" s="1" t="inlineStr">
        <x:is>
          <x:t xml:space="preserve">RESULT</x:t>
        </x:is>
      </x:c>
      <x:c r="B939" s="1" t="inlineStr">
        <x:is>
          <x:t xml:space="preserve">Round2</x:t>
        </x:is>
      </x:c>
      <x:c r="C939" s="1" t="inlineStr">
        <x:is>
          <x:t xml:space="preserve">Closure_117</x:t>
        </x:is>
      </x:c>
      <x:c r="D939" s="1" t="inlineStr">
        <x:is>
          <x:t xml:space="preserve">NOT_AVAILABLE</x:t>
        </x:is>
      </x:c>
      <x:c r="E939" s="5"/>
      <x:c r="F939" s="4">
        <x:v>0</x:v>
      </x:c>
      <x:c r="G939" s="4">
        <x:v>11428</x:v>
      </x:c>
      <x:c r="H939" s="6">
        <x:v>36.85</x:v>
      </x:c>
      <x:c r="I939" s="16">
        <x:v>1</x:v>
      </x:c>
      <x:c r="J939"/>
      <x:c r="K939" s="4"/>
      <x:c r="L939" s="4"/>
      <x:c r="M939" s="4"/>
      <x:c r="N939" s="5"/>
    </x:row>
    <x:row r="940" ht="24" customHeight="1">
      <x:c r="A940" s="1" t="inlineStr">
        <x:is>
          <x:t xml:space="preserve">RESULT</x:t>
        </x:is>
      </x:c>
      <x:c r="B940" s="1" t="inlineStr">
        <x:is>
          <x:t xml:space="preserve">Round2</x:t>
        </x:is>
      </x:c>
      <x:c r="C940" s="1" t="inlineStr">
        <x:is>
          <x:t xml:space="preserve">Closure_118</x:t>
        </x:is>
      </x:c>
      <x:c r="D940" s="1" t="inlineStr">
        <x:is>
          <x:t xml:space="preserve">NOT_AVAILABLE</x:t>
        </x:is>
      </x:c>
      <x:c r="E940" s="5"/>
      <x:c r="F940" s="4">
        <x:v>0</x:v>
      </x:c>
      <x:c r="G940" s="4">
        <x:v>18539</x:v>
      </x:c>
      <x:c r="H940" s="6">
        <x:v>90.25</x:v>
      </x:c>
      <x:c r="I940" s="16">
        <x:v>1</x:v>
      </x:c>
      <x:c r="J940"/>
      <x:c r="K940" s="4"/>
      <x:c r="L940" s="4"/>
      <x:c r="M940" s="4"/>
      <x:c r="N940" s="5"/>
    </x:row>
    <x:row r="941" ht="24" customHeight="1">
      <x:c r="A941" s="1" t="inlineStr">
        <x:is>
          <x:t xml:space="preserve">RESULT</x:t>
        </x:is>
      </x:c>
      <x:c r="B941" s="1" t="inlineStr">
        <x:is>
          <x:t xml:space="preserve">Round2</x:t>
        </x:is>
      </x:c>
      <x:c r="C941" s="1" t="inlineStr">
        <x:is>
          <x:t xml:space="preserve">Closure_119</x:t>
        </x:is>
      </x:c>
      <x:c r="D941" s="1" t="inlineStr">
        <x:is>
          <x:t xml:space="preserve">NOT_AVAILABLE</x:t>
        </x:is>
      </x:c>
      <x:c r="E941" s="5"/>
      <x:c r="F941" s="4">
        <x:v>0</x:v>
      </x:c>
      <x:c r="G941" s="4">
        <x:v>11631</x:v>
      </x:c>
      <x:c r="H941" s="6">
        <x:v>28.41</x:v>
      </x:c>
      <x:c r="I941" s="16">
        <x:v>1</x:v>
      </x:c>
      <x:c r="J941"/>
      <x:c r="K941" s="4"/>
      <x:c r="L941" s="4"/>
      <x:c r="M941" s="4"/>
      <x:c r="N941" s="5"/>
    </x:row>
    <x:row r="942" ht="24" customHeight="1">
      <x:c r="A942" s="1" t="inlineStr">
        <x:is>
          <x:t xml:space="preserve">RESULT</x:t>
        </x:is>
      </x:c>
      <x:c r="B942" s="1" t="inlineStr">
        <x:is>
          <x:t xml:space="preserve">Round2</x:t>
        </x:is>
      </x:c>
      <x:c r="C942" s="1" t="inlineStr">
        <x:is>
          <x:t xml:space="preserve">Closure_12</x:t>
        </x:is>
      </x:c>
      <x:c r="D942" s="1" t="inlineStr">
        <x:is>
          <x:t xml:space="preserve">NOT_AVAILABLE</x:t>
        </x:is>
      </x:c>
      <x:c r="E942" s="5"/>
      <x:c r="F942" s="4">
        <x:v>0</x:v>
      </x:c>
      <x:c r="G942" s="4">
        <x:v>26652</x:v>
      </x:c>
      <x:c r="H942" s="6">
        <x:v>207.63</x:v>
      </x:c>
      <x:c r="I942" s="16">
        <x:v>1</x:v>
      </x:c>
      <x:c r="J942"/>
      <x:c r="K942" s="4"/>
      <x:c r="L942" s="4"/>
      <x:c r="M942" s="4"/>
      <x:c r="N942" s="5"/>
    </x:row>
    <x:row r="943" ht="24" customHeight="1">
      <x:c r="A943" s="1" t="inlineStr">
        <x:is>
          <x:t xml:space="preserve">RESULT</x:t>
        </x:is>
      </x:c>
      <x:c r="B943" s="1" t="inlineStr">
        <x:is>
          <x:t xml:space="preserve">Round2</x:t>
        </x:is>
      </x:c>
      <x:c r="C943" s="1" t="inlineStr">
        <x:is>
          <x:t xml:space="preserve">Closure_120</x:t>
        </x:is>
      </x:c>
      <x:c r="D943" s="1" t="inlineStr">
        <x:is>
          <x:t xml:space="preserve">NOT_AVAILABLE</x:t>
        </x:is>
      </x:c>
      <x:c r="E943" s="5"/>
      <x:c r="F943" s="4">
        <x:v>0</x:v>
      </x:c>
      <x:c r="G943" s="4">
        <x:v>20153</x:v>
      </x:c>
      <x:c r="H943" s="6">
        <x:v>160.6</x:v>
      </x:c>
      <x:c r="I943" s="16">
        <x:v>1</x:v>
      </x:c>
      <x:c r="J943"/>
      <x:c r="K943" s="4"/>
      <x:c r="L943" s="4"/>
      <x:c r="M943" s="4"/>
      <x:c r="N943" s="5"/>
    </x:row>
    <x:row r="944" ht="24" customHeight="1">
      <x:c r="A944" s="1" t="inlineStr">
        <x:is>
          <x:t xml:space="preserve">RESULT</x:t>
        </x:is>
      </x:c>
      <x:c r="B944" s="1" t="inlineStr">
        <x:is>
          <x:t xml:space="preserve">Round2</x:t>
        </x:is>
      </x:c>
      <x:c r="C944" s="1" t="inlineStr">
        <x:is>
          <x:t xml:space="preserve">Closure_121</x:t>
        </x:is>
      </x:c>
      <x:c r="D944" s="1" t="inlineStr">
        <x:is>
          <x:t xml:space="preserve">INCONCLUSIVE</x:t>
        </x:is>
      </x:c>
      <x:c r="E944" s="5">
        <x:v>0.6296</x:v>
      </x:c>
      <x:c r="F944" s="4">
        <x:v>0</x:v>
      </x:c>
      <x:c r="G944" s="4">
        <x:v>16450</x:v>
      </x:c>
      <x:c r="H944" s="6">
        <x:v>111.94</x:v>
      </x:c>
      <x:c r="I944" s="16">
        <x:v>1</x:v>
      </x:c>
      <x:c r="J944">
        <x:v>297</x:v>
      </x:c>
      <x:c r="K944" s="4">
        <x:v>187</x:v>
      </x:c>
      <x:c r="L944" s="4">
        <x:v>236</x:v>
      </x:c>
      <x:c r="M944" s="4">
        <x:v>109</x:v>
      </x:c>
      <x:c r="N944" s="5">
        <x:v>0.4619</x:v>
      </x:c>
    </x:row>
    <x:row r="945" ht="24" customHeight="1">
      <x:c r="A945" s="1" t="inlineStr">
        <x:is>
          <x:t xml:space="preserve">RESULT</x:t>
        </x:is>
      </x:c>
      <x:c r="B945" s="1" t="inlineStr">
        <x:is>
          <x:t xml:space="preserve">Round2</x:t>
        </x:is>
      </x:c>
      <x:c r="C945" s="1" t="inlineStr">
        <x:is>
          <x:t xml:space="preserve">Closure_122</x:t>
        </x:is>
      </x:c>
      <x:c r="D945" s="1" t="inlineStr">
        <x:is>
          <x:t xml:space="preserve">NOT_AVAILABLE</x:t>
        </x:is>
      </x:c>
      <x:c r="E945" s="5"/>
      <x:c r="F945" s="4">
        <x:v>0</x:v>
      </x:c>
      <x:c r="G945" s="4">
        <x:v>19103</x:v>
      </x:c>
      <x:c r="H945" s="6">
        <x:v>50.31</x:v>
      </x:c>
      <x:c r="I945" s="16">
        <x:v>1</x:v>
      </x:c>
      <x:c r="J945"/>
      <x:c r="K945" s="4"/>
      <x:c r="L945" s="4"/>
      <x:c r="M945" s="4"/>
      <x:c r="N945" s="5"/>
    </x:row>
    <x:row r="946" ht="24" customHeight="1">
      <x:c r="A946" s="1" t="inlineStr">
        <x:is>
          <x:t xml:space="preserve">RESULT</x:t>
        </x:is>
      </x:c>
      <x:c r="B946" s="1" t="inlineStr">
        <x:is>
          <x:t xml:space="preserve">Round2</x:t>
        </x:is>
      </x:c>
      <x:c r="C946" s="1" t="inlineStr">
        <x:is>
          <x:t xml:space="preserve">Closure_123</x:t>
        </x:is>
      </x:c>
      <x:c r="D946" s="1" t="inlineStr">
        <x:is>
          <x:t xml:space="preserve">NOT_AVAILABLE</x:t>
        </x:is>
      </x:c>
      <x:c r="E946" s="5"/>
      <x:c r="F946" s="4">
        <x:v>0</x:v>
      </x:c>
      <x:c r="G946" s="4">
        <x:v>12909</x:v>
      </x:c>
      <x:c r="H946" s="6">
        <x:v>33.61</x:v>
      </x:c>
      <x:c r="I946" s="16">
        <x:v>1</x:v>
      </x:c>
      <x:c r="J946"/>
      <x:c r="K946" s="4"/>
      <x:c r="L946" s="4"/>
      <x:c r="M946" s="4"/>
      <x:c r="N946" s="5"/>
    </x:row>
    <x:row r="947" ht="24" customHeight="1">
      <x:c r="A947" s="1" t="inlineStr">
        <x:is>
          <x:t xml:space="preserve">RESULT</x:t>
        </x:is>
      </x:c>
      <x:c r="B947" s="1" t="inlineStr">
        <x:is>
          <x:t xml:space="preserve">Round2</x:t>
        </x:is>
      </x:c>
      <x:c r="C947" s="1" t="inlineStr">
        <x:is>
          <x:t xml:space="preserve">Closure_124</x:t>
        </x:is>
      </x:c>
      <x:c r="D947" s="1" t="inlineStr">
        <x:is>
          <x:t xml:space="preserve">NOT_AVAILABLE</x:t>
        </x:is>
      </x:c>
      <x:c r="E947" s="5"/>
      <x:c r="F947" s="4">
        <x:v>0</x:v>
      </x:c>
      <x:c r="G947" s="4">
        <x:v>10157</x:v>
      </x:c>
      <x:c r="H947" s="6">
        <x:v>60.75</x:v>
      </x:c>
      <x:c r="I947" s="16">
        <x:v>1</x:v>
      </x:c>
      <x:c r="J947"/>
      <x:c r="K947" s="4"/>
      <x:c r="L947" s="4"/>
      <x:c r="M947" s="4"/>
      <x:c r="N947" s="5"/>
    </x:row>
    <x:row r="948" ht="24" customHeight="1">
      <x:c r="A948" s="1" t="inlineStr">
        <x:is>
          <x:t xml:space="preserve">RESULT</x:t>
        </x:is>
      </x:c>
      <x:c r="B948" s="1" t="inlineStr">
        <x:is>
          <x:t xml:space="preserve">Round2</x:t>
        </x:is>
      </x:c>
      <x:c r="C948" s="1" t="inlineStr">
        <x:is>
          <x:t xml:space="preserve">Closure_125</x:t>
        </x:is>
      </x:c>
      <x:c r="D948" s="1" t="inlineStr">
        <x:is>
          <x:t xml:space="preserve">NOT_AVAILABLE</x:t>
        </x:is>
      </x:c>
      <x:c r="E948" s="5"/>
      <x:c r="F948" s="4">
        <x:v>0</x:v>
      </x:c>
      <x:c r="G948" s="4">
        <x:v>20520</x:v>
      </x:c>
      <x:c r="H948" s="6">
        <x:v>41.4</x:v>
      </x:c>
      <x:c r="I948" s="16">
        <x:v>1</x:v>
      </x:c>
      <x:c r="J948"/>
      <x:c r="K948" s="4"/>
      <x:c r="L948" s="4"/>
      <x:c r="M948" s="4"/>
      <x:c r="N948" s="5"/>
    </x:row>
    <x:row r="949" ht="24" customHeight="1">
      <x:c r="A949" s="1" t="inlineStr">
        <x:is>
          <x:t xml:space="preserve">RESULT</x:t>
        </x:is>
      </x:c>
      <x:c r="B949" s="1" t="inlineStr">
        <x:is>
          <x:t xml:space="preserve">Round2</x:t>
        </x:is>
      </x:c>
      <x:c r="C949" s="1" t="inlineStr">
        <x:is>
          <x:t xml:space="preserve">Closure_126</x:t>
        </x:is>
      </x:c>
      <x:c r="D949" s="1" t="inlineStr">
        <x:is>
          <x:t xml:space="preserve">NOT_AVAILABLE</x:t>
        </x:is>
      </x:c>
      <x:c r="E949" s="5"/>
      <x:c r="F949" s="4">
        <x:v>0</x:v>
      </x:c>
      <x:c r="G949" s="4">
        <x:v>13540</x:v>
      </x:c>
      <x:c r="H949" s="6">
        <x:v>89.8</x:v>
      </x:c>
      <x:c r="I949" s="16">
        <x:v>1</x:v>
      </x:c>
      <x:c r="J949"/>
      <x:c r="K949" s="4"/>
      <x:c r="L949" s="4"/>
      <x:c r="M949" s="4"/>
      <x:c r="N949" s="5"/>
    </x:row>
    <x:row r="950" ht="24" customHeight="1">
      <x:c r="A950" s="1" t="inlineStr">
        <x:is>
          <x:t xml:space="preserve">RESULT</x:t>
        </x:is>
      </x:c>
      <x:c r="B950" s="1" t="inlineStr">
        <x:is>
          <x:t xml:space="preserve">Round2</x:t>
        </x:is>
      </x:c>
      <x:c r="C950" s="1" t="inlineStr">
        <x:is>
          <x:t xml:space="preserve">Closure_127</x:t>
        </x:is>
      </x:c>
      <x:c r="D950" s="1" t="inlineStr">
        <x:is>
          <x:t xml:space="preserve">NOT_AVAILABLE</x:t>
        </x:is>
      </x:c>
      <x:c r="E950" s="5"/>
      <x:c r="F950" s="4">
        <x:v>0</x:v>
      </x:c>
      <x:c r="G950" s="4">
        <x:v>15667</x:v>
      </x:c>
      <x:c r="H950" s="6">
        <x:v>116.84</x:v>
      </x:c>
      <x:c r="I950" s="16">
        <x:v>1</x:v>
      </x:c>
      <x:c r="J950"/>
      <x:c r="K950" s="4"/>
      <x:c r="L950" s="4"/>
      <x:c r="M950" s="4"/>
      <x:c r="N950" s="5"/>
    </x:row>
    <x:row r="951" ht="24" customHeight="1">
      <x:c r="A951" s="1" t="inlineStr">
        <x:is>
          <x:t xml:space="preserve">RESULT</x:t>
        </x:is>
      </x:c>
      <x:c r="B951" s="1" t="inlineStr">
        <x:is>
          <x:t xml:space="preserve">Round2</x:t>
        </x:is>
      </x:c>
      <x:c r="C951" s="1" t="inlineStr">
        <x:is>
          <x:t xml:space="preserve">Closure_128</x:t>
        </x:is>
      </x:c>
      <x:c r="D951" s="1" t="inlineStr">
        <x:is>
          <x:t xml:space="preserve">NOT_AVAILABLE</x:t>
        </x:is>
      </x:c>
      <x:c r="E951" s="5"/>
      <x:c r="F951" s="4">
        <x:v>0</x:v>
      </x:c>
      <x:c r="G951" s="4">
        <x:v>14733</x:v>
      </x:c>
      <x:c r="H951" s="6">
        <x:v>51.32</x:v>
      </x:c>
      <x:c r="I951" s="16">
        <x:v>1</x:v>
      </x:c>
      <x:c r="J951"/>
      <x:c r="K951" s="4"/>
      <x:c r="L951" s="4"/>
      <x:c r="M951" s="4"/>
      <x:c r="N951" s="5"/>
    </x:row>
    <x:row r="952" ht="24" customHeight="1">
      <x:c r="A952" s="1" t="inlineStr">
        <x:is>
          <x:t xml:space="preserve">RESULT</x:t>
        </x:is>
      </x:c>
      <x:c r="B952" s="1" t="inlineStr">
        <x:is>
          <x:t xml:space="preserve">Round2</x:t>
        </x:is>
      </x:c>
      <x:c r="C952" s="1" t="inlineStr">
        <x:is>
          <x:t xml:space="preserve">Closure_129</x:t>
        </x:is>
      </x:c>
      <x:c r="D952" s="1" t="inlineStr">
        <x:is>
          <x:t xml:space="preserve">NOT_AVAILABLE</x:t>
        </x:is>
      </x:c>
      <x:c r="E952" s="5"/>
      <x:c r="F952" s="4">
        <x:v>0</x:v>
      </x:c>
      <x:c r="G952" s="4">
        <x:v>18484</x:v>
      </x:c>
      <x:c r="H952" s="6">
        <x:v>159.32</x:v>
      </x:c>
      <x:c r="I952" s="16">
        <x:v>1</x:v>
      </x:c>
      <x:c r="J952"/>
      <x:c r="K952" s="4"/>
      <x:c r="L952" s="4"/>
      <x:c r="M952" s="4"/>
      <x:c r="N952" s="5"/>
    </x:row>
    <x:row r="953" ht="24" customHeight="1">
      <x:c r="A953" s="1" t="inlineStr">
        <x:is>
          <x:t xml:space="preserve">RESULT</x:t>
        </x:is>
      </x:c>
      <x:c r="B953" s="1" t="inlineStr">
        <x:is>
          <x:t xml:space="preserve">Round2</x:t>
        </x:is>
      </x:c>
      <x:c r="C953" s="1" t="inlineStr">
        <x:is>
          <x:t xml:space="preserve">Closure_13</x:t>
        </x:is>
      </x:c>
      <x:c r="D953" s="1" t="inlineStr">
        <x:is>
          <x:t xml:space="preserve">NOT_AVAILABLE</x:t>
        </x:is>
      </x:c>
      <x:c r="E953" s="5"/>
      <x:c r="F953" s="4">
        <x:v>0</x:v>
      </x:c>
      <x:c r="G953" s="4">
        <x:v>5207</x:v>
      </x:c>
      <x:c r="H953" s="6">
        <x:v>23.49</x:v>
      </x:c>
      <x:c r="I953" s="16">
        <x:v>1</x:v>
      </x:c>
      <x:c r="J953"/>
      <x:c r="K953" s="4"/>
      <x:c r="L953" s="4"/>
      <x:c r="M953" s="4"/>
      <x:c r="N953" s="5"/>
    </x:row>
    <x:row r="954" ht="24" customHeight="1">
      <x:c r="A954" s="1" t="inlineStr">
        <x:is>
          <x:t xml:space="preserve">RESULT</x:t>
        </x:is>
      </x:c>
      <x:c r="B954" s="1" t="inlineStr">
        <x:is>
          <x:t xml:space="preserve">Round2</x:t>
        </x:is>
      </x:c>
      <x:c r="C954" s="1" t="inlineStr">
        <x:is>
          <x:t xml:space="preserve">Closure_130</x:t>
        </x:is>
      </x:c>
      <x:c r="D954" s="1" t="inlineStr">
        <x:is>
          <x:t xml:space="preserve">NOT_AVAILABLE</x:t>
        </x:is>
      </x:c>
      <x:c r="E954" s="5"/>
      <x:c r="F954" s="4">
        <x:v>0</x:v>
      </x:c>
      <x:c r="G954" s="4">
        <x:v>14545</x:v>
      </x:c>
      <x:c r="H954" s="6">
        <x:v>82.78</x:v>
      </x:c>
      <x:c r="I954" s="16">
        <x:v>1</x:v>
      </x:c>
      <x:c r="J954"/>
      <x:c r="K954" s="4"/>
      <x:c r="L954" s="4"/>
      <x:c r="M954" s="4"/>
      <x:c r="N954" s="5"/>
    </x:row>
    <x:row r="955" ht="24" customHeight="1">
      <x:c r="A955" s="1" t="inlineStr">
        <x:is>
          <x:t xml:space="preserve">RESULT</x:t>
        </x:is>
      </x:c>
      <x:c r="B955" s="1" t="inlineStr">
        <x:is>
          <x:t xml:space="preserve">Round2</x:t>
        </x:is>
      </x:c>
      <x:c r="C955" s="1" t="inlineStr">
        <x:is>
          <x:t xml:space="preserve">Closure_131</x:t>
        </x:is>
      </x:c>
      <x:c r="D955" s="1" t="inlineStr">
        <x:is>
          <x:t xml:space="preserve">REVEALING</x:t>
        </x:is>
      </x:c>
      <x:c r="E955" s="5">
        <x:v>0.9912000000000001</x:v>
      </x:c>
      <x:c r="F955" s="4">
        <x:v>1</x:v>
      </x:c>
      <x:c r="G955" s="4"/>
      <x:c r="H955" s="6"/>
      <x:c r="I955" s="16">
        <x:v>1</x:v>
      </x:c>
      <x:c r="J955">
        <x:v>113</x:v>
      </x:c>
      <x:c r="K955" s="4">
        <x:v>112</x:v>
      </x:c>
      <x:c r="L955" s="4">
        <x:v>165</x:v>
      </x:c>
      <x:c r="M955" s="4">
        <x:v>138</x:v>
      </x:c>
      <x:c r="N955" s="5">
        <x:v>0.8364</x:v>
      </x:c>
    </x:row>
    <x:row r="956" ht="24" customHeight="1">
      <x:c r="A956" s="1" t="inlineStr">
        <x:is>
          <x:t xml:space="preserve">RESULT</x:t>
        </x:is>
      </x:c>
      <x:c r="B956" s="1" t="inlineStr">
        <x:is>
          <x:t xml:space="preserve">Round2</x:t>
        </x:is>
      </x:c>
      <x:c r="C956" s="1" t="inlineStr">
        <x:is>
          <x:t xml:space="preserve">Closure_132</x:t>
        </x:is>
      </x:c>
      <x:c r="D956" s="1" t="inlineStr">
        <x:is>
          <x:t xml:space="preserve">NOT_AVAILABLE</x:t>
        </x:is>
      </x:c>
      <x:c r="E956" s="5"/>
      <x:c r="F956" s="4">
        <x:v>0</x:v>
      </x:c>
      <x:c r="G956" s="4">
        <x:v>17734</x:v>
      </x:c>
      <x:c r="H956" s="6">
        <x:v>64.32</x:v>
      </x:c>
      <x:c r="I956" s="16">
        <x:v>1</x:v>
      </x:c>
      <x:c r="J956"/>
      <x:c r="K956" s="4"/>
      <x:c r="L956" s="4"/>
      <x:c r="M956" s="4"/>
      <x:c r="N956" s="5"/>
    </x:row>
    <x:row r="957" ht="24" customHeight="1">
      <x:c r="A957" s="1" t="inlineStr">
        <x:is>
          <x:t xml:space="preserve">RESULT</x:t>
        </x:is>
      </x:c>
      <x:c r="B957" s="1" t="inlineStr">
        <x:is>
          <x:t xml:space="preserve">Round2</x:t>
        </x:is>
      </x:c>
      <x:c r="C957" s="1" t="inlineStr">
        <x:is>
          <x:t xml:space="preserve">Closure_133</x:t>
        </x:is>
      </x:c>
      <x:c r="D957" s="1" t="inlineStr">
        <x:is>
          <x:t xml:space="preserve">NOT_AVAILABLE</x:t>
        </x:is>
      </x:c>
      <x:c r="E957" s="5"/>
      <x:c r="F957" s="4">
        <x:v>0</x:v>
      </x:c>
      <x:c r="G957" s="4">
        <x:v>17727</x:v>
      </x:c>
      <x:c r="H957" s="6">
        <x:v>26.68</x:v>
      </x:c>
      <x:c r="I957" s="16">
        <x:v>1</x:v>
      </x:c>
      <x:c r="J957"/>
      <x:c r="K957" s="4"/>
      <x:c r="L957" s="4"/>
      <x:c r="M957" s="4"/>
      <x:c r="N957" s="5"/>
    </x:row>
    <x:row r="958" ht="24" customHeight="1">
      <x:c r="A958" s="1" t="inlineStr">
        <x:is>
          <x:t xml:space="preserve">RESULT</x:t>
        </x:is>
      </x:c>
      <x:c r="B958" s="1" t="inlineStr">
        <x:is>
          <x:t xml:space="preserve">Round2</x:t>
        </x:is>
      </x:c>
      <x:c r="C958" s="1" t="inlineStr">
        <x:is>
          <x:t xml:space="preserve">Closure_134</x:t>
        </x:is>
      </x:c>
      <x:c r="D958" s="1" t="inlineStr">
        <x:is>
          <x:t xml:space="preserve">NOT_AVAILABLE</x:t>
        </x:is>
      </x:c>
      <x:c r="E958" s="5"/>
      <x:c r="F958" s="4">
        <x:v>0</x:v>
      </x:c>
      <x:c r="G958" s="4">
        <x:v>37067</x:v>
      </x:c>
      <x:c r="H958" s="6">
        <x:v>209.84</x:v>
      </x:c>
      <x:c r="I958" s="16">
        <x:v>1</x:v>
      </x:c>
      <x:c r="J958"/>
      <x:c r="K958" s="4"/>
      <x:c r="L958" s="4"/>
      <x:c r="M958" s="4"/>
      <x:c r="N958" s="5"/>
    </x:row>
    <x:row r="959" ht="24" customHeight="1">
      <x:c r="A959" s="1" t="inlineStr">
        <x:is>
          <x:t xml:space="preserve">RESULT</x:t>
        </x:is>
      </x:c>
      <x:c r="B959" s="1" t="inlineStr">
        <x:is>
          <x:t xml:space="preserve">Round2</x:t>
        </x:is>
      </x:c>
      <x:c r="C959" s="1" t="inlineStr">
        <x:is>
          <x:t xml:space="preserve">Closure_135</x:t>
        </x:is>
      </x:c>
      <x:c r="D959" s="1" t="inlineStr">
        <x:is>
          <x:t xml:space="preserve">NOT_AVAILABLE</x:t>
        </x:is>
      </x:c>
      <x:c r="E959" s="5"/>
      <x:c r="F959" s="4">
        <x:v>0</x:v>
      </x:c>
      <x:c r="G959" s="4">
        <x:v>34300</x:v>
      </x:c>
      <x:c r="H959" s="6">
        <x:v>211.78</x:v>
      </x:c>
      <x:c r="I959" s="16">
        <x:v>1</x:v>
      </x:c>
      <x:c r="J959"/>
      <x:c r="K959" s="4"/>
      <x:c r="L959" s="4"/>
      <x:c r="M959" s="4"/>
      <x:c r="N959" s="5"/>
    </x:row>
    <x:row r="960" ht="24" customHeight="1">
      <x:c r="A960" s="1" t="inlineStr">
        <x:is>
          <x:t xml:space="preserve">RESULT</x:t>
        </x:is>
      </x:c>
      <x:c r="B960" s="1" t="inlineStr">
        <x:is>
          <x:t xml:space="preserve">Round2</x:t>
        </x:is>
      </x:c>
      <x:c r="C960" s="1" t="inlineStr">
        <x:is>
          <x:t xml:space="preserve">Closure_136</x:t>
        </x:is>
      </x:c>
      <x:c r="D960" s="1" t="inlineStr">
        <x:is>
          <x:t xml:space="preserve">NOT_AVAILABLE</x:t>
        </x:is>
      </x:c>
      <x:c r="E960" s="5"/>
      <x:c r="F960" s="4">
        <x:v>0</x:v>
      </x:c>
      <x:c r="G960" s="4">
        <x:v>25898</x:v>
      </x:c>
      <x:c r="H960" s="6">
        <x:v>190.26</x:v>
      </x:c>
      <x:c r="I960" s="16">
        <x:v>1</x:v>
      </x:c>
      <x:c r="J960"/>
      <x:c r="K960" s="4"/>
      <x:c r="L960" s="4"/>
      <x:c r="M960" s="4"/>
      <x:c r="N960" s="5"/>
    </x:row>
    <x:row r="961" ht="24" customHeight="1">
      <x:c r="A961" s="1" t="inlineStr">
        <x:is>
          <x:t xml:space="preserve">RESULT</x:t>
        </x:is>
      </x:c>
      <x:c r="B961" s="1" t="inlineStr">
        <x:is>
          <x:t xml:space="preserve">Round2</x:t>
        </x:is>
      </x:c>
      <x:c r="C961" s="1" t="inlineStr">
        <x:is>
          <x:t xml:space="preserve">Closure_137</x:t>
        </x:is>
      </x:c>
      <x:c r="D961" s="1" t="inlineStr">
        <x:is>
          <x:t xml:space="preserve">NOT_AVAILABLE</x:t>
        </x:is>
      </x:c>
      <x:c r="E961" s="5"/>
      <x:c r="F961" s="4">
        <x:v>0</x:v>
      </x:c>
      <x:c r="G961" s="4">
        <x:v>49247</x:v>
      </x:c>
      <x:c r="H961" s="6">
        <x:v>231.45</x:v>
      </x:c>
      <x:c r="I961" s="16">
        <x:v>1</x:v>
      </x:c>
      <x:c r="J961"/>
      <x:c r="K961" s="4"/>
      <x:c r="L961" s="4"/>
      <x:c r="M961" s="4"/>
      <x:c r="N961" s="5"/>
    </x:row>
    <x:row r="962" ht="24" customHeight="1">
      <x:c r="A962" s="1" t="inlineStr">
        <x:is>
          <x:t xml:space="preserve">RESULT</x:t>
        </x:is>
      </x:c>
      <x:c r="B962" s="1" t="inlineStr">
        <x:is>
          <x:t xml:space="preserve">Round2</x:t>
        </x:is>
      </x:c>
      <x:c r="C962" s="1" t="inlineStr">
        <x:is>
          <x:t xml:space="preserve">Closure_138</x:t>
        </x:is>
      </x:c>
      <x:c r="D962" s="1" t="inlineStr">
        <x:is>
          <x:t xml:space="preserve">NOT_AVAILABLE</x:t>
        </x:is>
      </x:c>
      <x:c r="E962" s="5"/>
      <x:c r="F962" s="4">
        <x:v>0</x:v>
      </x:c>
      <x:c r="G962" s="4">
        <x:v>30582</x:v>
      </x:c>
      <x:c r="H962" s="6">
        <x:v>226.13</x:v>
      </x:c>
      <x:c r="I962" s="16">
        <x:v>1</x:v>
      </x:c>
      <x:c r="J962"/>
      <x:c r="K962" s="4"/>
      <x:c r="L962" s="4"/>
      <x:c r="M962" s="4"/>
      <x:c r="N962" s="5"/>
    </x:row>
    <x:row r="963" ht="24" customHeight="1">
      <x:c r="A963" s="1" t="inlineStr">
        <x:is>
          <x:t xml:space="preserve">RESULT</x:t>
        </x:is>
      </x:c>
      <x:c r="B963" s="1" t="inlineStr">
        <x:is>
          <x:t xml:space="preserve">Round2</x:t>
        </x:is>
      </x:c>
      <x:c r="C963" s="1" t="inlineStr">
        <x:is>
          <x:t xml:space="preserve">Closure_139</x:t>
        </x:is>
      </x:c>
      <x:c r="D963" s="1" t="inlineStr">
        <x:is>
          <x:t xml:space="preserve">NOT_AVAILABLE</x:t>
        </x:is>
      </x:c>
      <x:c r="E963" s="5"/>
      <x:c r="F963" s="4">
        <x:v>0</x:v>
      </x:c>
      <x:c r="G963" s="4">
        <x:v>19285</x:v>
      </x:c>
      <x:c r="H963" s="6">
        <x:v>121.98</x:v>
      </x:c>
      <x:c r="I963" s="16">
        <x:v>1</x:v>
      </x:c>
      <x:c r="J963"/>
      <x:c r="K963" s="4"/>
      <x:c r="L963" s="4"/>
      <x:c r="M963" s="4"/>
      <x:c r="N963" s="5"/>
    </x:row>
    <x:row r="964" ht="24" customHeight="1">
      <x:c r="A964" s="1" t="inlineStr">
        <x:is>
          <x:t xml:space="preserve">RESULT</x:t>
        </x:is>
      </x:c>
      <x:c r="B964" s="1" t="inlineStr">
        <x:is>
          <x:t xml:space="preserve">Round2</x:t>
        </x:is>
      </x:c>
      <x:c r="C964" s="1" t="inlineStr">
        <x:is>
          <x:t xml:space="preserve">Closure_14</x:t>
        </x:is>
      </x:c>
      <x:c r="D964" s="1" t="inlineStr">
        <x:is>
          <x:t xml:space="preserve">NOT_AVAILABLE</x:t>
        </x:is>
      </x:c>
      <x:c r="E964" s="5"/>
      <x:c r="F964" s="4">
        <x:v>0</x:v>
      </x:c>
      <x:c r="G964" s="4">
        <x:v>19325</x:v>
      </x:c>
      <x:c r="H964" s="6">
        <x:v>107.01</x:v>
      </x:c>
      <x:c r="I964" s="16">
        <x:v>1</x:v>
      </x:c>
      <x:c r="J964"/>
      <x:c r="K964" s="4"/>
      <x:c r="L964" s="4"/>
      <x:c r="M964" s="4"/>
      <x:c r="N964" s="5"/>
    </x:row>
    <x:row r="965" ht="24" customHeight="1">
      <x:c r="A965" s="1" t="inlineStr">
        <x:is>
          <x:t xml:space="preserve">RESULT</x:t>
        </x:is>
      </x:c>
      <x:c r="B965" s="1" t="inlineStr">
        <x:is>
          <x:t xml:space="preserve">Round2</x:t>
        </x:is>
      </x:c>
      <x:c r="C965" s="1" t="inlineStr">
        <x:is>
          <x:t xml:space="preserve">Closure_140</x:t>
        </x:is>
      </x:c>
      <x:c r="D965" s="1" t="inlineStr">
        <x:is>
          <x:t xml:space="preserve">NOT_AVAILABLE</x:t>
        </x:is>
      </x:c>
      <x:c r="E965" s="5"/>
      <x:c r="F965" s="4">
        <x:v>0</x:v>
      </x:c>
      <x:c r="G965" s="4">
        <x:v>13749</x:v>
      </x:c>
      <x:c r="H965" s="6">
        <x:v>34.83</x:v>
      </x:c>
      <x:c r="I965" s="16">
        <x:v>1</x:v>
      </x:c>
      <x:c r="J965"/>
      <x:c r="K965" s="4"/>
      <x:c r="L965" s="4"/>
      <x:c r="M965" s="4"/>
      <x:c r="N965" s="5"/>
    </x:row>
    <x:row r="966" ht="24" customHeight="1">
      <x:c r="A966" s="1" t="inlineStr">
        <x:is>
          <x:t xml:space="preserve">RESULT</x:t>
        </x:is>
      </x:c>
      <x:c r="B966" s="1" t="inlineStr">
        <x:is>
          <x:t xml:space="preserve">Round2</x:t>
        </x:is>
      </x:c>
      <x:c r="C966" s="1" t="inlineStr">
        <x:is>
          <x:t xml:space="preserve">Closure_141</x:t>
        </x:is>
      </x:c>
      <x:c r="D966" s="1" t="inlineStr">
        <x:is>
          <x:t xml:space="preserve">NOT_AVAILABLE</x:t>
        </x:is>
      </x:c>
      <x:c r="E966" s="5"/>
      <x:c r="F966" s="4">
        <x:v>0</x:v>
      </x:c>
      <x:c r="G966" s="4">
        <x:v>24591</x:v>
      </x:c>
      <x:c r="H966" s="6">
        <x:v>65.71</x:v>
      </x:c>
      <x:c r="I966" s="16">
        <x:v>1</x:v>
      </x:c>
      <x:c r="J966"/>
      <x:c r="K966" s="4"/>
      <x:c r="L966" s="4"/>
      <x:c r="M966" s="4"/>
      <x:c r="N966" s="5"/>
    </x:row>
    <x:row r="967" ht="24" customHeight="1">
      <x:c r="A967" s="1" t="inlineStr">
        <x:is>
          <x:t xml:space="preserve">RESULT</x:t>
        </x:is>
      </x:c>
      <x:c r="B967" s="1" t="inlineStr">
        <x:is>
          <x:t xml:space="preserve">Round2</x:t>
        </x:is>
      </x:c>
      <x:c r="C967" s="1" t="inlineStr">
        <x:is>
          <x:t xml:space="preserve">Closure_142</x:t>
        </x:is>
      </x:c>
      <x:c r="D967" s="1" t="inlineStr">
        <x:is>
          <x:t xml:space="preserve">NOT_AVAILABLE</x:t>
        </x:is>
      </x:c>
      <x:c r="E967" s="5"/>
      <x:c r="F967" s="4">
        <x:v>0</x:v>
      </x:c>
      <x:c r="G967" s="4">
        <x:v>27215</x:v>
      </x:c>
      <x:c r="H967" s="6">
        <x:v>82.45</x:v>
      </x:c>
      <x:c r="I967" s="16">
        <x:v>1</x:v>
      </x:c>
      <x:c r="J967"/>
      <x:c r="K967" s="4"/>
      <x:c r="L967" s="4"/>
      <x:c r="M967" s="4"/>
      <x:c r="N967" s="5"/>
    </x:row>
    <x:row r="968" ht="24" customHeight="1">
      <x:c r="A968" s="1" t="inlineStr">
        <x:is>
          <x:t xml:space="preserve">RESULT</x:t>
        </x:is>
      </x:c>
      <x:c r="B968" s="1" t="inlineStr">
        <x:is>
          <x:t xml:space="preserve">Round2</x:t>
        </x:is>
      </x:c>
      <x:c r="C968" s="1" t="inlineStr">
        <x:is>
          <x:t xml:space="preserve">Closure_143</x:t>
        </x:is>
      </x:c>
      <x:c r="D968" s="1" t="inlineStr">
        <x:is>
          <x:t xml:space="preserve">NOT_AVAILABLE</x:t>
        </x:is>
      </x:c>
      <x:c r="E968" s="5"/>
      <x:c r="F968" s="4">
        <x:v>0</x:v>
      </x:c>
      <x:c r="G968" s="4">
        <x:v>29465</x:v>
      </x:c>
      <x:c r="H968" s="6">
        <x:v>197.95</x:v>
      </x:c>
      <x:c r="I968" s="16">
        <x:v>1</x:v>
      </x:c>
      <x:c r="J968"/>
      <x:c r="K968" s="4"/>
      <x:c r="L968" s="4"/>
      <x:c r="M968" s="4"/>
      <x:c r="N968" s="5"/>
    </x:row>
    <x:row r="969" ht="24" customHeight="1">
      <x:c r="A969" s="1" t="inlineStr">
        <x:is>
          <x:t xml:space="preserve">RESULT</x:t>
        </x:is>
      </x:c>
      <x:c r="B969" s="1" t="inlineStr">
        <x:is>
          <x:t xml:space="preserve">Round2</x:t>
        </x:is>
      </x:c>
      <x:c r="C969" s="1" t="inlineStr">
        <x:is>
          <x:t xml:space="preserve">Closure_144</x:t>
        </x:is>
      </x:c>
      <x:c r="D969" s="1" t="inlineStr">
        <x:is>
          <x:t xml:space="preserve">NOT_AVAILABLE</x:t>
        </x:is>
      </x:c>
      <x:c r="E969" s="5"/>
      <x:c r="F969" s="4">
        <x:v>0</x:v>
      </x:c>
      <x:c r="G969" s="4">
        <x:v>72590</x:v>
      </x:c>
      <x:c r="H969" s="6">
        <x:v>393.02</x:v>
      </x:c>
      <x:c r="I969" s="16">
        <x:v>1</x:v>
      </x:c>
      <x:c r="J969"/>
      <x:c r="K969" s="4"/>
      <x:c r="L969" s="4"/>
      <x:c r="M969" s="4"/>
      <x:c r="N969" s="5"/>
    </x:row>
    <x:row r="970" ht="24" customHeight="1">
      <x:c r="A970" s="1" t="inlineStr">
        <x:is>
          <x:t xml:space="preserve">RESULT</x:t>
        </x:is>
      </x:c>
      <x:c r="B970" s="1" t="inlineStr">
        <x:is>
          <x:t xml:space="preserve">Round2</x:t>
        </x:is>
      </x:c>
      <x:c r="C970" s="1" t="inlineStr">
        <x:is>
          <x:t xml:space="preserve">Closure_145</x:t>
        </x:is>
      </x:c>
      <x:c r="D970" s="1" t="inlineStr">
        <x:is>
          <x:t xml:space="preserve">NOT_AVAILABLE</x:t>
        </x:is>
      </x:c>
      <x:c r="E970" s="5"/>
      <x:c r="F970" s="4">
        <x:v>0</x:v>
      </x:c>
      <x:c r="G970" s="4">
        <x:v>16927</x:v>
      </x:c>
      <x:c r="H970" s="6">
        <x:v>85.83</x:v>
      </x:c>
      <x:c r="I970" s="16">
        <x:v>1</x:v>
      </x:c>
      <x:c r="J970"/>
      <x:c r="K970" s="4"/>
      <x:c r="L970" s="4"/>
      <x:c r="M970" s="4"/>
      <x:c r="N970" s="5"/>
    </x:row>
    <x:row r="971" ht="24" customHeight="1">
      <x:c r="A971" s="1" t="inlineStr">
        <x:is>
          <x:t xml:space="preserve">RESULT</x:t>
        </x:is>
      </x:c>
      <x:c r="B971" s="1" t="inlineStr">
        <x:is>
          <x:t xml:space="preserve">Round2</x:t>
        </x:is>
      </x:c>
      <x:c r="C971" s="1" t="inlineStr">
        <x:is>
          <x:t xml:space="preserve">Closure_146</x:t>
        </x:is>
      </x:c>
      <x:c r="D971" s="1" t="inlineStr">
        <x:is>
          <x:t xml:space="preserve">NOT_AVAILABLE</x:t>
        </x:is>
      </x:c>
      <x:c r="E971" s="5"/>
      <x:c r="F971" s="4">
        <x:v>0</x:v>
      </x:c>
      <x:c r="G971" s="4">
        <x:v>20328</x:v>
      </x:c>
      <x:c r="H971" s="6">
        <x:v>137.89</x:v>
      </x:c>
      <x:c r="I971" s="16">
        <x:v>1</x:v>
      </x:c>
      <x:c r="J971"/>
      <x:c r="K971" s="4"/>
      <x:c r="L971" s="4"/>
      <x:c r="M971" s="4"/>
      <x:c r="N971" s="5"/>
    </x:row>
    <x:row r="972" ht="24" customHeight="1">
      <x:c r="A972" s="1" t="inlineStr">
        <x:is>
          <x:t xml:space="preserve">RESULT</x:t>
        </x:is>
      </x:c>
      <x:c r="B972" s="1" t="inlineStr">
        <x:is>
          <x:t xml:space="preserve">Round2</x:t>
        </x:is>
      </x:c>
      <x:c r="C972" s="1" t="inlineStr">
        <x:is>
          <x:t xml:space="preserve">Closure_147</x:t>
        </x:is>
      </x:c>
      <x:c r="D972" s="1" t="inlineStr">
        <x:is>
          <x:t xml:space="preserve">NOT_AVAILABLE</x:t>
        </x:is>
      </x:c>
      <x:c r="E972" s="5"/>
      <x:c r="F972" s="4">
        <x:v>0</x:v>
      </x:c>
      <x:c r="G972" s="4">
        <x:v>30127</x:v>
      </x:c>
      <x:c r="H972" s="6">
        <x:v>216.9</x:v>
      </x:c>
      <x:c r="I972" s="16">
        <x:v>1</x:v>
      </x:c>
      <x:c r="J972"/>
      <x:c r="K972" s="4"/>
      <x:c r="L972" s="4"/>
      <x:c r="M972" s="4"/>
      <x:c r="N972" s="5"/>
    </x:row>
    <x:row r="973" ht="24" customHeight="1">
      <x:c r="A973" s="1" t="inlineStr">
        <x:is>
          <x:t xml:space="preserve">RESULT</x:t>
        </x:is>
      </x:c>
      <x:c r="B973" s="1" t="inlineStr">
        <x:is>
          <x:t xml:space="preserve">Round2</x:t>
        </x:is>
      </x:c>
      <x:c r="C973" s="1" t="inlineStr">
        <x:is>
          <x:t xml:space="preserve">Closure_148</x:t>
        </x:is>
      </x:c>
      <x:c r="D973" s="1" t="inlineStr">
        <x:is>
          <x:t xml:space="preserve">NOT_AVAILABLE</x:t>
        </x:is>
      </x:c>
      <x:c r="E973" s="5"/>
      <x:c r="F973" s="4">
        <x:v>0</x:v>
      </x:c>
      <x:c r="G973" s="4">
        <x:v>38692</x:v>
      </x:c>
      <x:c r="H973" s="6">
        <x:v>201.32</x:v>
      </x:c>
      <x:c r="I973" s="16">
        <x:v>1</x:v>
      </x:c>
      <x:c r="J973"/>
      <x:c r="K973" s="4"/>
      <x:c r="L973" s="4"/>
      <x:c r="M973" s="4"/>
      <x:c r="N973" s="5"/>
    </x:row>
    <x:row r="974" ht="24" customHeight="1">
      <x:c r="A974" s="1" t="inlineStr">
        <x:is>
          <x:t xml:space="preserve">RESULT</x:t>
        </x:is>
      </x:c>
      <x:c r="B974" s="1" t="inlineStr">
        <x:is>
          <x:t xml:space="preserve">Round2</x:t>
        </x:is>
      </x:c>
      <x:c r="C974" s="1" t="inlineStr">
        <x:is>
          <x:t xml:space="preserve">Closure_149</x:t>
        </x:is>
      </x:c>
      <x:c r="D974" s="1" t="inlineStr">
        <x:is>
          <x:t xml:space="preserve">NOT_AVAILABLE</x:t>
        </x:is>
      </x:c>
      <x:c r="E974" s="5"/>
      <x:c r="F974" s="4">
        <x:v>0</x:v>
      </x:c>
      <x:c r="G974" s="4">
        <x:v>64064</x:v>
      </x:c>
      <x:c r="H974" s="6">
        <x:v>273.32</x:v>
      </x:c>
      <x:c r="I974" s="16">
        <x:v>1</x:v>
      </x:c>
      <x:c r="J974"/>
      <x:c r="K974" s="4"/>
      <x:c r="L974" s="4"/>
      <x:c r="M974" s="4"/>
      <x:c r="N974" s="5"/>
    </x:row>
    <x:row r="975" ht="24" customHeight="1">
      <x:c r="A975" s="1" t="inlineStr">
        <x:is>
          <x:t xml:space="preserve">RESULT</x:t>
        </x:is>
      </x:c>
      <x:c r="B975" s="1" t="inlineStr">
        <x:is>
          <x:t xml:space="preserve">Round2</x:t>
        </x:is>
      </x:c>
      <x:c r="C975" s="1" t="inlineStr">
        <x:is>
          <x:t xml:space="preserve">Closure_15</x:t>
        </x:is>
      </x:c>
      <x:c r="D975" s="1" t="inlineStr">
        <x:is>
          <x:t xml:space="preserve">NOT_AVAILABLE</x:t>
        </x:is>
      </x:c>
      <x:c r="E975" s="5"/>
      <x:c r="F975" s="4">
        <x:v>0</x:v>
      </x:c>
      <x:c r="G975" s="4">
        <x:v>10294</x:v>
      </x:c>
      <x:c r="H975" s="6">
        <x:v>43.81</x:v>
      </x:c>
      <x:c r="I975" s="16">
        <x:v>1</x:v>
      </x:c>
      <x:c r="J975"/>
      <x:c r="K975" s="4"/>
      <x:c r="L975" s="4"/>
      <x:c r="M975" s="4"/>
      <x:c r="N975" s="5"/>
    </x:row>
    <x:row r="976" ht="24" customHeight="1">
      <x:c r="A976" s="1" t="inlineStr">
        <x:is>
          <x:t xml:space="preserve">RESULT</x:t>
        </x:is>
      </x:c>
      <x:c r="B976" s="1" t="inlineStr">
        <x:is>
          <x:t xml:space="preserve">Round2</x:t>
        </x:is>
      </x:c>
      <x:c r="C976" s="1" t="inlineStr">
        <x:is>
          <x:t xml:space="preserve">Closure_150</x:t>
        </x:is>
      </x:c>
      <x:c r="D976" s="1" t="inlineStr">
        <x:is>
          <x:t xml:space="preserve">NOT_AVAILABLE</x:t>
        </x:is>
      </x:c>
      <x:c r="E976" s="5"/>
      <x:c r="F976" s="4">
        <x:v>0</x:v>
      </x:c>
      <x:c r="G976" s="4">
        <x:v>20500</x:v>
      </x:c>
      <x:c r="H976" s="6">
        <x:v>75.72</x:v>
      </x:c>
      <x:c r="I976" s="16">
        <x:v>1</x:v>
      </x:c>
      <x:c r="J976"/>
      <x:c r="K976" s="4"/>
      <x:c r="L976" s="4"/>
      <x:c r="M976" s="4"/>
      <x:c r="N976" s="5"/>
    </x:row>
    <x:row r="977" ht="24" customHeight="1">
      <x:c r="A977" s="1" t="inlineStr">
        <x:is>
          <x:t xml:space="preserve">RESULT</x:t>
        </x:is>
      </x:c>
      <x:c r="B977" s="1" t="inlineStr">
        <x:is>
          <x:t xml:space="preserve">Round2</x:t>
        </x:is>
      </x:c>
      <x:c r="C977" s="1" t="inlineStr">
        <x:is>
          <x:t xml:space="preserve">Closure_151</x:t>
        </x:is>
      </x:c>
      <x:c r="D977" s="1" t="inlineStr">
        <x:is>
          <x:t xml:space="preserve">INCONCLUSIVE</x:t>
        </x:is>
      </x:c>
      <x:c r="E977" s="5">
        <x:v>0.7582</x:v>
      </x:c>
      <x:c r="F977" s="4">
        <x:v>0</x:v>
      </x:c>
      <x:c r="G977" s="4">
        <x:v>10783</x:v>
      </x:c>
      <x:c r="H977" s="6">
        <x:v>39.77</x:v>
      </x:c>
      <x:c r="I977" s="16">
        <x:v>1</x:v>
      </x:c>
      <x:c r="J977">
        <x:v>182</x:v>
      </x:c>
      <x:c r="K977" s="4">
        <x:v>138</x:v>
      </x:c>
      <x:c r="L977" s="4">
        <x:v>34</x:v>
      </x:c>
      <x:c r="M977" s="4">
        <x:v>18</x:v>
      </x:c>
      <x:c r="N977" s="5">
        <x:v>0.5294</x:v>
      </x:c>
    </x:row>
    <x:row r="978" ht="24" customHeight="1">
      <x:c r="A978" s="1" t="inlineStr">
        <x:is>
          <x:t xml:space="preserve">RESULT</x:t>
        </x:is>
      </x:c>
      <x:c r="B978" s="1" t="inlineStr">
        <x:is>
          <x:t xml:space="preserve">Round2</x:t>
        </x:is>
      </x:c>
      <x:c r="C978" s="1" t="inlineStr">
        <x:is>
          <x:t xml:space="preserve">Closure_152</x:t>
        </x:is>
      </x:c>
      <x:c r="D978" s="1" t="inlineStr">
        <x:is>
          <x:t xml:space="preserve">NOT_AVAILABLE</x:t>
        </x:is>
      </x:c>
      <x:c r="E978" s="5"/>
      <x:c r="F978" s="4">
        <x:v>0</x:v>
      </x:c>
      <x:c r="G978" s="4">
        <x:v>14877</x:v>
      </x:c>
      <x:c r="H978" s="6">
        <x:v>91.06</x:v>
      </x:c>
      <x:c r="I978" s="16">
        <x:v>1</x:v>
      </x:c>
      <x:c r="J978"/>
      <x:c r="K978" s="4"/>
      <x:c r="L978" s="4"/>
      <x:c r="M978" s="4"/>
      <x:c r="N978" s="5"/>
    </x:row>
    <x:row r="979" ht="24" customHeight="1">
      <x:c r="A979" s="1" t="inlineStr">
        <x:is>
          <x:t xml:space="preserve">RESULT</x:t>
        </x:is>
      </x:c>
      <x:c r="B979" s="1" t="inlineStr">
        <x:is>
          <x:t xml:space="preserve">Round2</x:t>
        </x:is>
      </x:c>
      <x:c r="C979" s="1" t="inlineStr">
        <x:is>
          <x:t xml:space="preserve">Closure_153</x:t>
        </x:is>
      </x:c>
      <x:c r="D979" s="1" t="inlineStr">
        <x:is>
          <x:t xml:space="preserve">NOT_AVAILABLE</x:t>
        </x:is>
      </x:c>
      <x:c r="E979" s="5"/>
      <x:c r="F979" s="4">
        <x:v>0</x:v>
      </x:c>
      <x:c r="G979" s="4">
        <x:v>26373</x:v>
      </x:c>
      <x:c r="H979" s="6">
        <x:v>168.52</x:v>
      </x:c>
      <x:c r="I979" s="16">
        <x:v>1</x:v>
      </x:c>
      <x:c r="J979"/>
      <x:c r="K979" s="4"/>
      <x:c r="L979" s="4"/>
      <x:c r="M979" s="4"/>
      <x:c r="N979" s="5"/>
    </x:row>
    <x:row r="980" ht="24" customHeight="1">
      <x:c r="A980" s="1" t="inlineStr">
        <x:is>
          <x:t xml:space="preserve">RESULT</x:t>
        </x:is>
      </x:c>
      <x:c r="B980" s="1" t="inlineStr">
        <x:is>
          <x:t xml:space="preserve">Round2</x:t>
        </x:is>
      </x:c>
      <x:c r="C980" s="1" t="inlineStr">
        <x:is>
          <x:t xml:space="preserve">Closure_154</x:t>
        </x:is>
      </x:c>
      <x:c r="D980" s="1" t="inlineStr">
        <x:is>
          <x:t xml:space="preserve">NOT_AVAILABLE</x:t>
        </x:is>
      </x:c>
      <x:c r="E980" s="5"/>
      <x:c r="F980" s="4">
        <x:v>0</x:v>
      </x:c>
      <x:c r="G980" s="4">
        <x:v>38638</x:v>
      </x:c>
      <x:c r="H980" s="6">
        <x:v>167.03</x:v>
      </x:c>
      <x:c r="I980" s="16">
        <x:v>1</x:v>
      </x:c>
      <x:c r="J980"/>
      <x:c r="K980" s="4"/>
      <x:c r="L980" s="4"/>
      <x:c r="M980" s="4"/>
      <x:c r="N980" s="5"/>
    </x:row>
    <x:row r="981" ht="24" customHeight="1">
      <x:c r="A981" s="1" t="inlineStr">
        <x:is>
          <x:t xml:space="preserve">RESULT</x:t>
        </x:is>
      </x:c>
      <x:c r="B981" s="1" t="inlineStr">
        <x:is>
          <x:t xml:space="preserve">Round2</x:t>
        </x:is>
      </x:c>
      <x:c r="C981" s="1" t="inlineStr">
        <x:is>
          <x:t xml:space="preserve">Closure_155</x:t>
        </x:is>
      </x:c>
      <x:c r="D981" s="1" t="inlineStr">
        <x:is>
          <x:t xml:space="preserve">NOT_AVAILABLE</x:t>
        </x:is>
      </x:c>
      <x:c r="E981" s="5"/>
      <x:c r="F981" s="4">
        <x:v>0</x:v>
      </x:c>
      <x:c r="G981" s="4">
        <x:v>80454</x:v>
      </x:c>
      <x:c r="H981" s="6">
        <x:v>1159.33</x:v>
      </x:c>
      <x:c r="I981" s="16">
        <x:v>1</x:v>
      </x:c>
      <x:c r="J981"/>
      <x:c r="K981" s="4"/>
      <x:c r="L981" s="4"/>
      <x:c r="M981" s="4"/>
      <x:c r="N981" s="5"/>
    </x:row>
    <x:row r="982" ht="24" customHeight="1">
      <x:c r="A982" s="1" t="inlineStr">
        <x:is>
          <x:t xml:space="preserve">RESULT</x:t>
        </x:is>
      </x:c>
      <x:c r="B982" s="1" t="inlineStr">
        <x:is>
          <x:t xml:space="preserve">Round2</x:t>
        </x:is>
      </x:c>
      <x:c r="C982" s="1" t="inlineStr">
        <x:is>
          <x:t xml:space="preserve">Closure_156</x:t>
        </x:is>
      </x:c>
      <x:c r="D982" s="1" t="inlineStr">
        <x:is>
          <x:t xml:space="preserve">NOT_AVAILABLE</x:t>
        </x:is>
      </x:c>
      <x:c r="E982" s="5"/>
      <x:c r="F982" s="4">
        <x:v>0</x:v>
      </x:c>
      <x:c r="G982" s="4">
        <x:v>15212</x:v>
      </x:c>
      <x:c r="H982" s="6">
        <x:v>92.24</x:v>
      </x:c>
      <x:c r="I982" s="16">
        <x:v>1</x:v>
      </x:c>
      <x:c r="J982"/>
      <x:c r="K982" s="4"/>
      <x:c r="L982" s="4"/>
      <x:c r="M982" s="4"/>
      <x:c r="N982" s="5"/>
    </x:row>
    <x:row r="983" ht="24" customHeight="1">
      <x:c r="A983" s="1" t="inlineStr">
        <x:is>
          <x:t xml:space="preserve">RESULT</x:t>
        </x:is>
      </x:c>
      <x:c r="B983" s="1" t="inlineStr">
        <x:is>
          <x:t xml:space="preserve">Round2</x:t>
        </x:is>
      </x:c>
      <x:c r="C983" s="1" t="inlineStr">
        <x:is>
          <x:t xml:space="preserve">Closure_157</x:t>
        </x:is>
      </x:c>
      <x:c r="D983" s="1" t="inlineStr">
        <x:is>
          <x:t xml:space="preserve">NOT_AVAILABLE</x:t>
        </x:is>
      </x:c>
      <x:c r="E983" s="5"/>
      <x:c r="F983" s="4">
        <x:v>0</x:v>
      </x:c>
      <x:c r="G983" s="4">
        <x:v>69747</x:v>
      </x:c>
      <x:c r="H983" s="6">
        <x:v>1139.52</x:v>
      </x:c>
      <x:c r="I983" s="16">
        <x:v>1</x:v>
      </x:c>
      <x:c r="J983"/>
      <x:c r="K983" s="4"/>
      <x:c r="L983" s="4"/>
      <x:c r="M983" s="4"/>
      <x:c r="N983" s="5"/>
    </x:row>
    <x:row r="984" ht="24" customHeight="1">
      <x:c r="A984" s="1" t="inlineStr">
        <x:is>
          <x:t xml:space="preserve">RESULT</x:t>
        </x:is>
      </x:c>
      <x:c r="B984" s="1" t="inlineStr">
        <x:is>
          <x:t xml:space="preserve">Round2</x:t>
        </x:is>
      </x:c>
      <x:c r="C984" s="1" t="inlineStr">
        <x:is>
          <x:t xml:space="preserve">Closure_158</x:t>
        </x:is>
      </x:c>
      <x:c r="D984" s="1" t="inlineStr">
        <x:is>
          <x:t xml:space="preserve">NOT_AVAILABLE</x:t>
        </x:is>
      </x:c>
      <x:c r="E984" s="5"/>
      <x:c r="F984" s="4">
        <x:v>0</x:v>
      </x:c>
      <x:c r="G984" s="4">
        <x:v>78426</x:v>
      </x:c>
      <x:c r="H984" s="6">
        <x:v>910.68</x:v>
      </x:c>
      <x:c r="I984" s="16">
        <x:v>1</x:v>
      </x:c>
      <x:c r="J984"/>
      <x:c r="K984" s="4"/>
      <x:c r="L984" s="4"/>
      <x:c r="M984" s="4"/>
      <x:c r="N984" s="5"/>
    </x:row>
    <x:row r="985" ht="24" customHeight="1">
      <x:c r="A985" s="1" t="inlineStr">
        <x:is>
          <x:t xml:space="preserve">RESULT</x:t>
        </x:is>
      </x:c>
      <x:c r="B985" s="1" t="inlineStr">
        <x:is>
          <x:t xml:space="preserve">Round2</x:t>
        </x:is>
      </x:c>
      <x:c r="C985" s="1" t="inlineStr">
        <x:is>
          <x:t xml:space="preserve">Closure_159</x:t>
        </x:is>
      </x:c>
      <x:c r="D985" s="1" t="inlineStr">
        <x:is>
          <x:t xml:space="preserve">NOT_AVAILABLE</x:t>
        </x:is>
      </x:c>
      <x:c r="E985" s="5"/>
      <x:c r="F985" s="4">
        <x:v>0</x:v>
      </x:c>
      <x:c r="G985" s="4">
        <x:v>15350</x:v>
      </x:c>
      <x:c r="H985" s="6">
        <x:v>84.2</x:v>
      </x:c>
      <x:c r="I985" s="16">
        <x:v>1</x:v>
      </x:c>
      <x:c r="J985"/>
      <x:c r="K985" s="4"/>
      <x:c r="L985" s="4"/>
      <x:c r="M985" s="4"/>
      <x:c r="N985" s="5"/>
    </x:row>
    <x:row r="986" ht="24" customHeight="1">
      <x:c r="A986" s="1" t="inlineStr">
        <x:is>
          <x:t xml:space="preserve">RESULT</x:t>
        </x:is>
      </x:c>
      <x:c r="B986" s="1" t="inlineStr">
        <x:is>
          <x:t xml:space="preserve">Round2</x:t>
        </x:is>
      </x:c>
      <x:c r="C986" s="1" t="inlineStr">
        <x:is>
          <x:t xml:space="preserve">Closure_16</x:t>
        </x:is>
      </x:c>
      <x:c r="D986" s="1" t="inlineStr">
        <x:is>
          <x:t xml:space="preserve">NOT_AVAILABLE</x:t>
        </x:is>
      </x:c>
      <x:c r="E986" s="5"/>
      <x:c r="F986" s="4">
        <x:v>0</x:v>
      </x:c>
      <x:c r="G986" s="4">
        <x:v>17950</x:v>
      </x:c>
      <x:c r="H986" s="6">
        <x:v>121.88</x:v>
      </x:c>
      <x:c r="I986" s="16">
        <x:v>1</x:v>
      </x:c>
      <x:c r="J986"/>
      <x:c r="K986" s="4"/>
      <x:c r="L986" s="4"/>
      <x:c r="M986" s="4"/>
      <x:c r="N986" s="5"/>
    </x:row>
    <x:row r="987" ht="24" customHeight="1">
      <x:c r="A987" s="1" t="inlineStr">
        <x:is>
          <x:t xml:space="preserve">RESULT</x:t>
        </x:is>
      </x:c>
      <x:c r="B987" s="1" t="inlineStr">
        <x:is>
          <x:t xml:space="preserve">Round2</x:t>
        </x:is>
      </x:c>
      <x:c r="C987" s="1" t="inlineStr">
        <x:is>
          <x:t xml:space="preserve">Closure_160</x:t>
        </x:is>
      </x:c>
      <x:c r="D987" s="1" t="inlineStr">
        <x:is>
          <x:t xml:space="preserve">NOT_AVAILABLE</x:t>
        </x:is>
      </x:c>
      <x:c r="E987" s="5"/>
      <x:c r="F987" s="4">
        <x:v>0</x:v>
      </x:c>
      <x:c r="G987" s="4">
        <x:v>17571</x:v>
      </x:c>
      <x:c r="H987" s="6">
        <x:v>44.36</x:v>
      </x:c>
      <x:c r="I987" s="16">
        <x:v>1</x:v>
      </x:c>
      <x:c r="J987"/>
      <x:c r="K987" s="4"/>
      <x:c r="L987" s="4"/>
      <x:c r="M987" s="4"/>
      <x:c r="N987" s="5"/>
    </x:row>
    <x:row r="988" ht="24" customHeight="1">
      <x:c r="A988" s="1" t="inlineStr">
        <x:is>
          <x:t xml:space="preserve">RESULT</x:t>
        </x:is>
      </x:c>
      <x:c r="B988" s="1" t="inlineStr">
        <x:is>
          <x:t xml:space="preserve">Round2</x:t>
        </x:is>
      </x:c>
      <x:c r="C988" s="1" t="inlineStr">
        <x:is>
          <x:t xml:space="preserve">Closure_161</x:t>
        </x:is>
      </x:c>
      <x:c r="D988" s="1" t="inlineStr">
        <x:is>
          <x:t xml:space="preserve">INCONCLUSIVE</x:t>
        </x:is>
      </x:c>
      <x:c r="E988" s="5">
        <x:v>0.37420000000000003</x:v>
      </x:c>
      <x:c r="F988" s="4">
        <x:v>0</x:v>
      </x:c>
      <x:c r="G988" s="4"/>
      <x:c r="H988" s="6"/>
      <x:c r="I988" s="16">
        <x:v>1</x:v>
      </x:c>
      <x:c r="J988">
        <x:v>636</x:v>
      </x:c>
      <x:c r="K988" s="4">
        <x:v>238</x:v>
      </x:c>
      <x:c r="L988" s="4">
        <x:v>498</x:v>
      </x:c>
      <x:c r="M988" s="4">
        <x:v>153</x:v>
      </x:c>
      <x:c r="N988" s="5">
        <x:v>0.3072</x:v>
      </x:c>
    </x:row>
    <x:row r="989" ht="24" customHeight="1">
      <x:c r="A989" s="1" t="inlineStr">
        <x:is>
          <x:t xml:space="preserve">RESULT</x:t>
        </x:is>
      </x:c>
      <x:c r="B989" s="1" t="inlineStr">
        <x:is>
          <x:t xml:space="preserve">Round2</x:t>
        </x:is>
      </x:c>
      <x:c r="C989" s="1" t="inlineStr">
        <x:is>
          <x:t xml:space="preserve">Closure_162</x:t>
        </x:is>
      </x:c>
      <x:c r="D989" s="1" t="inlineStr">
        <x:is>
          <x:t xml:space="preserve">NOT_AVAILABLE</x:t>
        </x:is>
      </x:c>
      <x:c r="E989" s="5"/>
      <x:c r="F989" s="4">
        <x:v>0</x:v>
      </x:c>
      <x:c r="G989" s="4">
        <x:v>25536</x:v>
      </x:c>
      <x:c r="H989" s="6">
        <x:v>132.94</x:v>
      </x:c>
      <x:c r="I989" s="16">
        <x:v>1</x:v>
      </x:c>
      <x:c r="J989"/>
      <x:c r="K989" s="4"/>
      <x:c r="L989" s="4"/>
      <x:c r="M989" s="4"/>
      <x:c r="N989" s="5"/>
    </x:row>
    <x:row r="990" ht="24" customHeight="1">
      <x:c r="A990" s="1" t="inlineStr">
        <x:is>
          <x:t xml:space="preserve">RESULT</x:t>
        </x:is>
      </x:c>
      <x:c r="B990" s="1" t="inlineStr">
        <x:is>
          <x:t xml:space="preserve">Round2</x:t>
        </x:is>
      </x:c>
      <x:c r="C990" s="1" t="inlineStr">
        <x:is>
          <x:t xml:space="preserve">Closure_163</x:t>
        </x:is>
      </x:c>
      <x:c r="D990" s="1" t="inlineStr">
        <x:is>
          <x:t xml:space="preserve">NOT_AVAILABLE</x:t>
        </x:is>
      </x:c>
      <x:c r="E990" s="5"/>
      <x:c r="F990" s="4">
        <x:v>0</x:v>
      </x:c>
      <x:c r="G990" s="4">
        <x:v>51070</x:v>
      </x:c>
      <x:c r="H990" s="6">
        <x:v>369.39</x:v>
      </x:c>
      <x:c r="I990" s="16">
        <x:v>1</x:v>
      </x:c>
      <x:c r="J990"/>
      <x:c r="K990" s="4"/>
      <x:c r="L990" s="4"/>
      <x:c r="M990" s="4"/>
      <x:c r="N990" s="5"/>
    </x:row>
    <x:row r="991" ht="24" customHeight="1">
      <x:c r="A991" s="1" t="inlineStr">
        <x:is>
          <x:t xml:space="preserve">RESULT</x:t>
        </x:is>
      </x:c>
      <x:c r="B991" s="1" t="inlineStr">
        <x:is>
          <x:t xml:space="preserve">Round2</x:t>
        </x:is>
      </x:c>
      <x:c r="C991" s="1" t="inlineStr">
        <x:is>
          <x:t xml:space="preserve">Closure_164</x:t>
        </x:is>
      </x:c>
      <x:c r="D991" s="1" t="inlineStr">
        <x:is>
          <x:t xml:space="preserve">NOT_AVAILABLE</x:t>
        </x:is>
      </x:c>
      <x:c r="E991" s="5"/>
      <x:c r="F991" s="4">
        <x:v>0</x:v>
      </x:c>
      <x:c r="G991" s="4">
        <x:v>11847</x:v>
      </x:c>
      <x:c r="H991" s="6">
        <x:v>81.29</x:v>
      </x:c>
      <x:c r="I991" s="16">
        <x:v>1</x:v>
      </x:c>
      <x:c r="J991"/>
      <x:c r="K991" s="4"/>
      <x:c r="L991" s="4"/>
      <x:c r="M991" s="4"/>
      <x:c r="N991" s="5"/>
    </x:row>
    <x:row r="992" ht="24" customHeight="1">
      <x:c r="A992" s="1" t="inlineStr">
        <x:is>
          <x:t xml:space="preserve">RESULT</x:t>
        </x:is>
      </x:c>
      <x:c r="B992" s="1" t="inlineStr">
        <x:is>
          <x:t xml:space="preserve">Round2</x:t>
        </x:is>
      </x:c>
      <x:c r="C992" s="1" t="inlineStr">
        <x:is>
          <x:t xml:space="preserve">Closure_165</x:t>
        </x:is>
      </x:c>
      <x:c r="D992" s="1" t="inlineStr">
        <x:is>
          <x:t xml:space="preserve">NOT_AVAILABLE</x:t>
        </x:is>
      </x:c>
      <x:c r="E992" s="5"/>
      <x:c r="F992" s="4">
        <x:v>0</x:v>
      </x:c>
      <x:c r="G992" s="4">
        <x:v>51021</x:v>
      </x:c>
      <x:c r="H992" s="6">
        <x:v>251.84</x:v>
      </x:c>
      <x:c r="I992" s="16">
        <x:v>1</x:v>
      </x:c>
      <x:c r="J992"/>
      <x:c r="K992" s="4"/>
      <x:c r="L992" s="4"/>
      <x:c r="M992" s="4"/>
      <x:c r="N992" s="5"/>
    </x:row>
    <x:row r="993" ht="24" customHeight="1">
      <x:c r="A993" s="1" t="inlineStr">
        <x:is>
          <x:t xml:space="preserve">RESULT</x:t>
        </x:is>
      </x:c>
      <x:c r="B993" s="1" t="inlineStr">
        <x:is>
          <x:t xml:space="preserve">Round2</x:t>
        </x:is>
      </x:c>
      <x:c r="C993" s="1" t="inlineStr">
        <x:is>
          <x:t xml:space="preserve">Closure_166</x:t>
        </x:is>
      </x:c>
      <x:c r="D993" s="1" t="inlineStr">
        <x:is>
          <x:t xml:space="preserve">NOT_AVAILABLE</x:t>
        </x:is>
      </x:c>
      <x:c r="E993" s="5"/>
      <x:c r="F993" s="4">
        <x:v>0</x:v>
      </x:c>
      <x:c r="G993" s="4">
        <x:v>11959</x:v>
      </x:c>
      <x:c r="H993" s="6">
        <x:v>50.56</x:v>
      </x:c>
      <x:c r="I993" s="16">
        <x:v>1</x:v>
      </x:c>
      <x:c r="J993"/>
      <x:c r="K993" s="4"/>
      <x:c r="L993" s="4"/>
      <x:c r="M993" s="4"/>
      <x:c r="N993" s="5"/>
    </x:row>
    <x:row r="994" ht="24" customHeight="1">
      <x:c r="A994" s="1" t="inlineStr">
        <x:is>
          <x:t xml:space="preserve">RESULT</x:t>
        </x:is>
      </x:c>
      <x:c r="B994" s="1" t="inlineStr">
        <x:is>
          <x:t xml:space="preserve">Round2</x:t>
        </x:is>
      </x:c>
      <x:c r="C994" s="1" t="inlineStr">
        <x:is>
          <x:t xml:space="preserve">Closure_167</x:t>
        </x:is>
      </x:c>
      <x:c r="D994" s="1" t="inlineStr">
        <x:is>
          <x:t xml:space="preserve">NOT_AVAILABLE</x:t>
        </x:is>
      </x:c>
      <x:c r="E994" s="5"/>
      <x:c r="F994" s="4">
        <x:v>0</x:v>
      </x:c>
      <x:c r="G994" s="4">
        <x:v>28779</x:v>
      </x:c>
      <x:c r="H994" s="6">
        <x:v>131.67</x:v>
      </x:c>
      <x:c r="I994" s="16">
        <x:v>1</x:v>
      </x:c>
      <x:c r="J994"/>
      <x:c r="K994" s="4"/>
      <x:c r="L994" s="4"/>
      <x:c r="M994" s="4"/>
      <x:c r="N994" s="5"/>
    </x:row>
    <x:row r="995" ht="24" customHeight="1">
      <x:c r="A995" s="1" t="inlineStr">
        <x:is>
          <x:t xml:space="preserve">RESULT</x:t>
        </x:is>
      </x:c>
      <x:c r="B995" s="1" t="inlineStr">
        <x:is>
          <x:t xml:space="preserve">Round2</x:t>
        </x:is>
      </x:c>
      <x:c r="C995" s="1" t="inlineStr">
        <x:is>
          <x:t xml:space="preserve">Closure_168</x:t>
        </x:is>
      </x:c>
      <x:c r="D995" s="1" t="inlineStr">
        <x:is>
          <x:t xml:space="preserve">NOT_AVAILABLE</x:t>
        </x:is>
      </x:c>
      <x:c r="E995" s="5"/>
      <x:c r="F995" s="4">
        <x:v>0</x:v>
      </x:c>
      <x:c r="G995" s="4">
        <x:v>29914</x:v>
      </x:c>
      <x:c r="H995" s="6">
        <x:v>139.41</x:v>
      </x:c>
      <x:c r="I995" s="16">
        <x:v>1</x:v>
      </x:c>
      <x:c r="J995"/>
      <x:c r="K995" s="4"/>
      <x:c r="L995" s="4"/>
      <x:c r="M995" s="4"/>
      <x:c r="N995" s="5"/>
    </x:row>
    <x:row r="996" ht="24" customHeight="1">
      <x:c r="A996" s="1" t="inlineStr">
        <x:is>
          <x:t xml:space="preserve">RESULT</x:t>
        </x:is>
      </x:c>
      <x:c r="B996" s="1" t="inlineStr">
        <x:is>
          <x:t xml:space="preserve">Round2</x:t>
        </x:is>
      </x:c>
      <x:c r="C996" s="1" t="inlineStr">
        <x:is>
          <x:t xml:space="preserve">Closure_169</x:t>
        </x:is>
      </x:c>
      <x:c r="D996" s="1" t="inlineStr">
        <x:is>
          <x:t xml:space="preserve">NOT_AVAILABLE</x:t>
        </x:is>
      </x:c>
      <x:c r="E996" s="5"/>
      <x:c r="F996" s="4">
        <x:v>0</x:v>
      </x:c>
      <x:c r="G996" s="4">
        <x:v>61341</x:v>
      </x:c>
      <x:c r="H996" s="6">
        <x:v>342.1</x:v>
      </x:c>
      <x:c r="I996" s="16">
        <x:v>1</x:v>
      </x:c>
      <x:c r="J996"/>
      <x:c r="K996" s="4"/>
      <x:c r="L996" s="4"/>
      <x:c r="M996" s="4"/>
      <x:c r="N996" s="5"/>
    </x:row>
    <x:row r="997" ht="24" customHeight="1">
      <x:c r="A997" s="1" t="inlineStr">
        <x:is>
          <x:t xml:space="preserve">RESULT</x:t>
        </x:is>
      </x:c>
      <x:c r="B997" s="1" t="inlineStr">
        <x:is>
          <x:t xml:space="preserve">Round2</x:t>
        </x:is>
      </x:c>
      <x:c r="C997" s="1" t="inlineStr">
        <x:is>
          <x:t xml:space="preserve">Closure_17</x:t>
        </x:is>
      </x:c>
      <x:c r="D997" s="1" t="inlineStr">
        <x:is>
          <x:t xml:space="preserve">NOT_AVAILABLE</x:t>
        </x:is>
      </x:c>
      <x:c r="E997" s="5"/>
      <x:c r="F997" s="4">
        <x:v>0</x:v>
      </x:c>
      <x:c r="G997" s="4">
        <x:v>21423</x:v>
      </x:c>
      <x:c r="H997" s="6">
        <x:v>52.92</x:v>
      </x:c>
      <x:c r="I997" s="16">
        <x:v>1</x:v>
      </x:c>
      <x:c r="J997"/>
      <x:c r="K997" s="4"/>
      <x:c r="L997" s="4"/>
      <x:c r="M997" s="4"/>
      <x:c r="N997" s="5"/>
    </x:row>
    <x:row r="998" ht="24" customHeight="1">
      <x:c r="A998" s="1" t="inlineStr">
        <x:is>
          <x:t xml:space="preserve">RESULT</x:t>
        </x:is>
      </x:c>
      <x:c r="B998" s="1" t="inlineStr">
        <x:is>
          <x:t xml:space="preserve">Round2</x:t>
        </x:is>
      </x:c>
      <x:c r="C998" s="1" t="inlineStr">
        <x:is>
          <x:t xml:space="preserve">Closure_170</x:t>
        </x:is>
      </x:c>
      <x:c r="D998" s="1" t="inlineStr">
        <x:is>
          <x:t xml:space="preserve">INCONCLUSIVE</x:t>
        </x:is>
      </x:c>
      <x:c r="E998" s="5">
        <x:v>0.0391</x:v>
      </x:c>
      <x:c r="F998" s="4">
        <x:v>0</x:v>
      </x:c>
      <x:c r="G998" s="4">
        <x:v>17925</x:v>
      </x:c>
      <x:c r="H998" s="6">
        <x:v>480.33</x:v>
      </x:c>
      <x:c r="I998" s="16">
        <x:v>1</x:v>
      </x:c>
      <x:c r="J998">
        <x:v>179</x:v>
      </x:c>
      <x:c r="K998" s="4">
        <x:v>7</x:v>
      </x:c>
      <x:c r="L998" s="4">
        <x:v>132</x:v>
      </x:c>
      <x:c r="M998" s="4">
        <x:v>0</x:v>
      </x:c>
      <x:c r="N998" s="5">
        <x:v>0.0</x:v>
      </x:c>
    </x:row>
    <x:row r="999" ht="24" customHeight="1">
      <x:c r="A999" s="1" t="inlineStr">
        <x:is>
          <x:t xml:space="preserve">RESULT</x:t>
        </x:is>
      </x:c>
      <x:c r="B999" s="1" t="inlineStr">
        <x:is>
          <x:t xml:space="preserve">Round2</x:t>
        </x:is>
      </x:c>
      <x:c r="C999" s="1" t="inlineStr">
        <x:is>
          <x:t xml:space="preserve">Closure_171</x:t>
        </x:is>
      </x:c>
      <x:c r="D999" s="1" t="inlineStr">
        <x:is>
          <x:t xml:space="preserve">NOT_AVAILABLE</x:t>
        </x:is>
      </x:c>
      <x:c r="E999" s="5"/>
      <x:c r="F999" s="4">
        <x:v>0</x:v>
      </x:c>
      <x:c r="G999" s="4">
        <x:v>41485</x:v>
      </x:c>
      <x:c r="H999" s="6">
        <x:v>109.98</x:v>
      </x:c>
      <x:c r="I999" s="16">
        <x:v>1</x:v>
      </x:c>
      <x:c r="J999"/>
      <x:c r="K999" s="4"/>
      <x:c r="L999" s="4"/>
      <x:c r="M999" s="4"/>
      <x:c r="N999" s="5"/>
    </x:row>
    <x:row r="1000" ht="24" customHeight="1">
      <x:c r="A1000" s="1" t="inlineStr">
        <x:is>
          <x:t xml:space="preserve">RESULT</x:t>
        </x:is>
      </x:c>
      <x:c r="B1000" s="1" t="inlineStr">
        <x:is>
          <x:t xml:space="preserve">Round2</x:t>
        </x:is>
      </x:c>
      <x:c r="C1000" s="1" t="inlineStr">
        <x:is>
          <x:t xml:space="preserve">Closure_172</x:t>
        </x:is>
      </x:c>
      <x:c r="D1000" s="1" t="inlineStr">
        <x:is>
          <x:t xml:space="preserve">INCONCLUSIVE</x:t>
        </x:is>
      </x:c>
      <x:c r="E1000" s="5">
        <x:v>0.0</x:v>
      </x:c>
      <x:c r="F1000" s="4">
        <x:v>0</x:v>
      </x:c>
      <x:c r="G1000" s="4"/>
      <x:c r="H1000" s="6"/>
      <x:c r="I1000" s="16">
        <x:v>1</x:v>
      </x:c>
      <x:c r="J1000">
        <x:v>947</x:v>
      </x:c>
      <x:c r="K1000" s="4">
        <x:v>0</x:v>
      </x:c>
      <x:c r="L1000" s="4">
        <x:v>762</x:v>
      </x:c>
      <x:c r="M1000" s="4">
        <x:v>0</x:v>
      </x:c>
      <x:c r="N1000" s="5">
        <x:v>0.0</x:v>
      </x:c>
    </x:row>
    <x:row r="1001" ht="24" customHeight="1">
      <x:c r="A1001" s="1" t="inlineStr">
        <x:is>
          <x:t xml:space="preserve">RESULT</x:t>
        </x:is>
      </x:c>
      <x:c r="B1001" s="1" t="inlineStr">
        <x:is>
          <x:t xml:space="preserve">Round2</x:t>
        </x:is>
      </x:c>
      <x:c r="C1001" s="1" t="inlineStr">
        <x:is>
          <x:t xml:space="preserve">Closure_173</x:t>
        </x:is>
      </x:c>
      <x:c r="D1001" s="1" t="inlineStr">
        <x:is>
          <x:t xml:space="preserve">INCONCLUSIVE</x:t>
        </x:is>
      </x:c>
      <x:c r="E1001" s="5">
        <x:v>0.08310000000000001</x:v>
      </x:c>
      <x:c r="F1001" s="4">
        <x:v>0</x:v>
      </x:c>
      <x:c r="G1001" s="4">
        <x:v>57446</x:v>
      </x:c>
      <x:c r="H1001" s="6">
        <x:v>1918.65</x:v>
      </x:c>
      <x:c r="I1001" s="16">
        <x:v>1</x:v>
      </x:c>
      <x:c r="J1001">
        <x:v>915</x:v>
      </x:c>
      <x:c r="K1001" s="4">
        <x:v>76</x:v>
      </x:c>
      <x:c r="L1001" s="4">
        <x:v>685</x:v>
      </x:c>
      <x:c r="M1001" s="4">
        <x:v>29</x:v>
      </x:c>
      <x:c r="N1001" s="5">
        <x:v>0.042300000000000004</x:v>
      </x:c>
    </x:row>
    <x:row r="1002" ht="24" customHeight="1">
      <x:c r="A1002" s="1" t="inlineStr">
        <x:is>
          <x:t xml:space="preserve">RESULT</x:t>
        </x:is>
      </x:c>
      <x:c r="B1002" s="1" t="inlineStr">
        <x:is>
          <x:t xml:space="preserve">Round2</x:t>
        </x:is>
      </x:c>
      <x:c r="C1002" s="1" t="inlineStr">
        <x:is>
          <x:t xml:space="preserve">Closure_174</x:t>
        </x:is>
      </x:c>
      <x:c r="D1002" s="1" t="inlineStr">
        <x:is>
          <x:t xml:space="preserve">NOT_AVAILABLE</x:t>
        </x:is>
      </x:c>
      <x:c r="E1002" s="5"/>
      <x:c r="F1002" s="4">
        <x:v>0</x:v>
      </x:c>
      <x:c r="G1002" s="4">
        <x:v>73829</x:v>
      </x:c>
      <x:c r="H1002" s="6">
        <x:v>2075.43</x:v>
      </x:c>
      <x:c r="I1002" s="16">
        <x:v>1</x:v>
      </x:c>
      <x:c r="J1002"/>
      <x:c r="K1002" s="4"/>
      <x:c r="L1002" s="4"/>
      <x:c r="M1002" s="4"/>
      <x:c r="N1002" s="5"/>
    </x:row>
    <x:row r="1003" ht="24" customHeight="1">
      <x:c r="A1003" s="1" t="inlineStr">
        <x:is>
          <x:t xml:space="preserve">RESULT</x:t>
        </x:is>
      </x:c>
      <x:c r="B1003" s="1" t="inlineStr">
        <x:is>
          <x:t xml:space="preserve">Round2</x:t>
        </x:is>
      </x:c>
      <x:c r="C1003" s="1" t="inlineStr">
        <x:is>
          <x:t xml:space="preserve">Closure_18</x:t>
        </x:is>
      </x:c>
      <x:c r="D1003" s="1" t="inlineStr">
        <x:is>
          <x:t xml:space="preserve">NOT_AVAILABLE</x:t>
        </x:is>
      </x:c>
      <x:c r="E1003" s="5"/>
      <x:c r="F1003" s="4">
        <x:v>0</x:v>
      </x:c>
      <x:c r="G1003" s="4">
        <x:v>31700</x:v>
      </x:c>
      <x:c r="H1003" s="6">
        <x:v>711.25</x:v>
      </x:c>
      <x:c r="I1003" s="16">
        <x:v>1</x:v>
      </x:c>
      <x:c r="J1003"/>
      <x:c r="K1003" s="4"/>
      <x:c r="L1003" s="4"/>
      <x:c r="M1003" s="4"/>
      <x:c r="N1003" s="5"/>
    </x:row>
    <x:row r="1004" ht="24" customHeight="1">
      <x:c r="A1004" s="1" t="inlineStr">
        <x:is>
          <x:t xml:space="preserve">RESULT</x:t>
        </x:is>
      </x:c>
      <x:c r="B1004" s="1" t="inlineStr">
        <x:is>
          <x:t xml:space="preserve">Round2</x:t>
        </x:is>
      </x:c>
      <x:c r="C1004" s="1" t="inlineStr">
        <x:is>
          <x:t xml:space="preserve">Closure_19</x:t>
        </x:is>
      </x:c>
      <x:c r="D1004" s="1" t="inlineStr">
        <x:is>
          <x:t xml:space="preserve">NOT_AVAILABLE</x:t>
        </x:is>
      </x:c>
      <x:c r="E1004" s="5"/>
      <x:c r="F1004" s="4">
        <x:v>0</x:v>
      </x:c>
      <x:c r="G1004" s="4">
        <x:v>27159</x:v>
      </x:c>
      <x:c r="H1004" s="6">
        <x:v>940.18</x:v>
      </x:c>
      <x:c r="I1004" s="16">
        <x:v>1</x:v>
      </x:c>
      <x:c r="J1004"/>
      <x:c r="K1004" s="4"/>
      <x:c r="L1004" s="4"/>
      <x:c r="M1004" s="4"/>
      <x:c r="N1004" s="5"/>
    </x:row>
    <x:row r="1005" ht="24" customHeight="1">
      <x:c r="A1005" s="1" t="inlineStr">
        <x:is>
          <x:t xml:space="preserve">RESULT</x:t>
        </x:is>
      </x:c>
      <x:c r="B1005" s="1" t="inlineStr">
        <x:is>
          <x:t xml:space="preserve">Round2</x:t>
        </x:is>
      </x:c>
      <x:c r="C1005" s="1" t="inlineStr">
        <x:is>
          <x:t xml:space="preserve">Closure_2</x:t>
        </x:is>
      </x:c>
      <x:c r="D1005" s="1" t="inlineStr">
        <x:is>
          <x:t xml:space="preserve">NOT_AVAILABLE</x:t>
        </x:is>
      </x:c>
      <x:c r="E1005" s="5"/>
      <x:c r="F1005" s="4">
        <x:v>0</x:v>
      </x:c>
      <x:c r="G1005" s="4">
        <x:v>17894</x:v>
      </x:c>
      <x:c r="H1005" s="6">
        <x:v>179.39</x:v>
      </x:c>
      <x:c r="I1005" s="16">
        <x:v>1</x:v>
      </x:c>
      <x:c r="J1005"/>
      <x:c r="K1005" s="4"/>
      <x:c r="L1005" s="4"/>
      <x:c r="M1005" s="4"/>
      <x:c r="N1005" s="5"/>
    </x:row>
    <x:row r="1006" ht="24" customHeight="1">
      <x:c r="A1006" s="1" t="inlineStr">
        <x:is>
          <x:t xml:space="preserve">RESULT</x:t>
        </x:is>
      </x:c>
      <x:c r="B1006" s="1" t="inlineStr">
        <x:is>
          <x:t xml:space="preserve">Round2</x:t>
        </x:is>
      </x:c>
      <x:c r="C1006" s="1" t="inlineStr">
        <x:is>
          <x:t xml:space="preserve">Closure_20</x:t>
        </x:is>
      </x:c>
      <x:c r="D1006" s="1" t="inlineStr">
        <x:is>
          <x:t xml:space="preserve">INCONCLUSIVE</x:t>
        </x:is>
      </x:c>
      <x:c r="E1006" s="5">
        <x:v>0.0981</x:v>
      </x:c>
      <x:c r="F1006" s="4">
        <x:v>0</x:v>
      </x:c>
      <x:c r="G1006" s="4"/>
      <x:c r="H1006" s="6"/>
      <x:c r="I1006" s="16">
        <x:v>1</x:v>
      </x:c>
      <x:c r="J1006">
        <x:v>754</x:v>
      </x:c>
      <x:c r="K1006" s="4">
        <x:v>74</x:v>
      </x:c>
      <x:c r="L1006" s="4">
        <x:v>526</x:v>
      </x:c>
      <x:c r="M1006" s="4">
        <x:v>32</x:v>
      </x:c>
      <x:c r="N1006" s="5">
        <x:v>0.0608</x:v>
      </x:c>
    </x:row>
    <x:row r="1007" ht="24" customHeight="1">
      <x:c r="A1007" s="1" t="inlineStr">
        <x:is>
          <x:t xml:space="preserve">RESULT</x:t>
        </x:is>
      </x:c>
      <x:c r="B1007" s="1" t="inlineStr">
        <x:is>
          <x:t xml:space="preserve">Round2</x:t>
        </x:is>
      </x:c>
      <x:c r="C1007" s="1" t="inlineStr">
        <x:is>
          <x:t xml:space="preserve">Closure_21</x:t>
        </x:is>
      </x:c>
      <x:c r="D1007" s="1" t="inlineStr">
        <x:is>
          <x:t xml:space="preserve">NOT_AVAILABLE</x:t>
        </x:is>
      </x:c>
      <x:c r="E1007" s="5"/>
      <x:c r="F1007" s="4">
        <x:v>0</x:v>
      </x:c>
      <x:c r="G1007" s="4">
        <x:v>19078</x:v>
      </x:c>
      <x:c r="H1007" s="6">
        <x:v>102.0</x:v>
      </x:c>
      <x:c r="I1007" s="16">
        <x:v>1</x:v>
      </x:c>
      <x:c r="J1007"/>
      <x:c r="K1007" s="4"/>
      <x:c r="L1007" s="4"/>
      <x:c r="M1007" s="4"/>
      <x:c r="N1007" s="5"/>
    </x:row>
    <x:row r="1008" ht="24" customHeight="1">
      <x:c r="A1008" s="1" t="inlineStr">
        <x:is>
          <x:t xml:space="preserve">RESULT</x:t>
        </x:is>
      </x:c>
      <x:c r="B1008" s="1" t="inlineStr">
        <x:is>
          <x:t xml:space="preserve">Round2</x:t>
        </x:is>
      </x:c>
      <x:c r="C1008" s="1" t="inlineStr">
        <x:is>
          <x:t xml:space="preserve">Closure_22</x:t>
        </x:is>
      </x:c>
      <x:c r="D1008" s="1" t="inlineStr">
        <x:is>
          <x:t xml:space="preserve">NOT_AVAILABLE</x:t>
        </x:is>
      </x:c>
      <x:c r="E1008" s="5"/>
      <x:c r="F1008" s="4">
        <x:v>0</x:v>
      </x:c>
      <x:c r="G1008" s="4">
        <x:v>22429</x:v>
      </x:c>
      <x:c r="H1008" s="6">
        <x:v>809.48</x:v>
      </x:c>
      <x:c r="I1008" s="16">
        <x:v>1</x:v>
      </x:c>
      <x:c r="J1008"/>
      <x:c r="K1008" s="4"/>
      <x:c r="L1008" s="4"/>
      <x:c r="M1008" s="4"/>
      <x:c r="N1008" s="5"/>
    </x:row>
    <x:row r="1009" ht="24" customHeight="1">
      <x:c r="A1009" s="1" t="inlineStr">
        <x:is>
          <x:t xml:space="preserve">RESULT</x:t>
        </x:is>
      </x:c>
      <x:c r="B1009" s="1" t="inlineStr">
        <x:is>
          <x:t xml:space="preserve">Round2</x:t>
        </x:is>
      </x:c>
      <x:c r="C1009" s="1" t="inlineStr">
        <x:is>
          <x:t xml:space="preserve">Closure_23</x:t>
        </x:is>
      </x:c>
      <x:c r="D1009" s="1" t="inlineStr">
        <x:is>
          <x:t xml:space="preserve">NOT_AVAILABLE</x:t>
        </x:is>
      </x:c>
      <x:c r="E1009" s="5"/>
      <x:c r="F1009" s="4">
        <x:v>0</x:v>
      </x:c>
      <x:c r="G1009" s="4">
        <x:v>29967</x:v>
      </x:c>
      <x:c r="H1009" s="6">
        <x:v>889.2</x:v>
      </x:c>
      <x:c r="I1009" s="16">
        <x:v>1</x:v>
      </x:c>
      <x:c r="J1009"/>
      <x:c r="K1009" s="4"/>
      <x:c r="L1009" s="4"/>
      <x:c r="M1009" s="4"/>
      <x:c r="N1009" s="5"/>
    </x:row>
    <x:row r="1010" ht="24" customHeight="1">
      <x:c r="A1010" s="1" t="inlineStr">
        <x:is>
          <x:t xml:space="preserve">RESULT</x:t>
        </x:is>
      </x:c>
      <x:c r="B1010" s="1" t="inlineStr">
        <x:is>
          <x:t xml:space="preserve">Round2</x:t>
        </x:is>
      </x:c>
      <x:c r="C1010" s="1" t="inlineStr">
        <x:is>
          <x:t xml:space="preserve">Closure_24</x:t>
        </x:is>
      </x:c>
      <x:c r="D1010" s="1" t="inlineStr">
        <x:is>
          <x:t xml:space="preserve">NOT_AVAILABLE</x:t>
        </x:is>
      </x:c>
      <x:c r="E1010" s="5"/>
      <x:c r="F1010" s="4">
        <x:v>0</x:v>
      </x:c>
      <x:c r="G1010" s="4">
        <x:v>26682</x:v>
      </x:c>
      <x:c r="H1010" s="6">
        <x:v>927.61</x:v>
      </x:c>
      <x:c r="I1010" s="16">
        <x:v>1</x:v>
      </x:c>
      <x:c r="J1010"/>
      <x:c r="K1010" s="4"/>
      <x:c r="L1010" s="4"/>
      <x:c r="M1010" s="4"/>
      <x:c r="N1010" s="5"/>
    </x:row>
    <x:row r="1011" ht="24" customHeight="1">
      <x:c r="A1011" s="1" t="inlineStr">
        <x:is>
          <x:t xml:space="preserve">RESULT</x:t>
        </x:is>
      </x:c>
      <x:c r="B1011" s="1" t="inlineStr">
        <x:is>
          <x:t xml:space="preserve">Round2</x:t>
        </x:is>
      </x:c>
      <x:c r="C1011" s="1" t="inlineStr">
        <x:is>
          <x:t xml:space="preserve">Closure_25</x:t>
        </x:is>
      </x:c>
      <x:c r="D1011" s="1" t="inlineStr">
        <x:is>
          <x:t xml:space="preserve">NOT_AVAILABLE</x:t>
        </x:is>
      </x:c>
      <x:c r="E1011" s="5"/>
      <x:c r="F1011" s="4">
        <x:v>0</x:v>
      </x:c>
      <x:c r="G1011" s="4">
        <x:v>32334</x:v>
      </x:c>
      <x:c r="H1011" s="6">
        <x:v>944.66</x:v>
      </x:c>
      <x:c r="I1011" s="16">
        <x:v>1</x:v>
      </x:c>
      <x:c r="J1011"/>
      <x:c r="K1011" s="4"/>
      <x:c r="L1011" s="4"/>
      <x:c r="M1011" s="4"/>
      <x:c r="N1011" s="5"/>
    </x:row>
    <x:row r="1012" ht="24" customHeight="1">
      <x:c r="A1012" s="1" t="inlineStr">
        <x:is>
          <x:t xml:space="preserve">RESULT</x:t>
        </x:is>
      </x:c>
      <x:c r="B1012" s="1" t="inlineStr">
        <x:is>
          <x:t xml:space="preserve">Round2</x:t>
        </x:is>
      </x:c>
      <x:c r="C1012" s="1" t="inlineStr">
        <x:is>
          <x:t xml:space="preserve">Closure_26</x:t>
        </x:is>
      </x:c>
      <x:c r="D1012" s="1" t="inlineStr">
        <x:is>
          <x:t xml:space="preserve">INCONCLUSIVE</x:t>
        </x:is>
      </x:c>
      <x:c r="E1012" s="5">
        <x:v>0.23579999999999998</x:v>
      </x:c>
      <x:c r="F1012" s="4">
        <x:v>0</x:v>
      </x:c>
      <x:c r="G1012" s="4">
        <x:v>16377</x:v>
      </x:c>
      <x:c r="H1012" s="6">
        <x:v>545.88</x:v>
      </x:c>
      <x:c r="I1012" s="16">
        <x:v>1</x:v>
      </x:c>
      <x:c r="J1012">
        <x:v>106</x:v>
      </x:c>
      <x:c r="K1012" s="4">
        <x:v>25</x:v>
      </x:c>
      <x:c r="L1012" s="4">
        <x:v>40</x:v>
      </x:c>
      <x:c r="M1012" s="4">
        <x:v>7</x:v>
      </x:c>
      <x:c r="N1012" s="5">
        <x:v>0.175</x:v>
      </x:c>
    </x:row>
    <x:row r="1013" ht="24" customHeight="1">
      <x:c r="A1013" s="1" t="inlineStr">
        <x:is>
          <x:t xml:space="preserve">RESULT</x:t>
        </x:is>
      </x:c>
      <x:c r="B1013" s="1" t="inlineStr">
        <x:is>
          <x:t xml:space="preserve">Round2</x:t>
        </x:is>
      </x:c>
      <x:c r="C1013" s="1" t="inlineStr">
        <x:is>
          <x:t xml:space="preserve">Closure_27</x:t>
        </x:is>
      </x:c>
      <x:c r="D1013" s="1" t="inlineStr">
        <x:is>
          <x:t xml:space="preserve">INCONCLUSIVE</x:t>
        </x:is>
      </x:c>
      <x:c r="E1013" s="5">
        <x:v>0.7326</x:v>
      </x:c>
      <x:c r="F1013" s="4">
        <x:v>0</x:v>
      </x:c>
      <x:c r="G1013" s="4">
        <x:v>24828</x:v>
      </x:c>
      <x:c r="H1013" s="6">
        <x:v>813.0</x:v>
      </x:c>
      <x:c r="I1013" s="16">
        <x:v>1</x:v>
      </x:c>
      <x:c r="J1013">
        <x:v>187</x:v>
      </x:c>
      <x:c r="K1013" s="4">
        <x:v>137</x:v>
      </x:c>
      <x:c r="L1013" s="4">
        <x:v>60</x:v>
      </x:c>
      <x:c r="M1013" s="4">
        <x:v>34</x:v>
      </x:c>
      <x:c r="N1013" s="5">
        <x:v>0.5667</x:v>
      </x:c>
    </x:row>
    <x:row r="1014" ht="24" customHeight="1">
      <x:c r="A1014" s="1" t="inlineStr">
        <x:is>
          <x:t xml:space="preserve">RESULT</x:t>
        </x:is>
      </x:c>
      <x:c r="B1014" s="1" t="inlineStr">
        <x:is>
          <x:t xml:space="preserve">Round2</x:t>
        </x:is>
      </x:c>
      <x:c r="C1014" s="1" t="inlineStr">
        <x:is>
          <x:t xml:space="preserve">Closure_28</x:t>
        </x:is>
      </x:c>
      <x:c r="D1014" s="1" t="inlineStr">
        <x:is>
          <x:t xml:space="preserve">NOT_AVAILABLE</x:t>
        </x:is>
      </x:c>
      <x:c r="E1014" s="5"/>
      <x:c r="F1014" s="4">
        <x:v>0</x:v>
      </x:c>
      <x:c r="G1014" s="4">
        <x:v>17960</x:v>
      </x:c>
      <x:c r="H1014" s="6">
        <x:v>744.8</x:v>
      </x:c>
      <x:c r="I1014" s="16">
        <x:v>1</x:v>
      </x:c>
      <x:c r="J1014"/>
      <x:c r="K1014" s="4"/>
      <x:c r="L1014" s="4"/>
      <x:c r="M1014" s="4"/>
      <x:c r="N1014" s="5"/>
    </x:row>
    <x:row r="1015" ht="24" customHeight="1">
      <x:c r="A1015" s="1" t="inlineStr">
        <x:is>
          <x:t xml:space="preserve">RESULT</x:t>
        </x:is>
      </x:c>
      <x:c r="B1015" s="1" t="inlineStr">
        <x:is>
          <x:t xml:space="preserve">Round2</x:t>
        </x:is>
      </x:c>
      <x:c r="C1015" s="1" t="inlineStr">
        <x:is>
          <x:t xml:space="preserve">Closure_29</x:t>
        </x:is>
      </x:c>
      <x:c r="D1015" s="1" t="inlineStr">
        <x:is>
          <x:t xml:space="preserve">INCONCLUSIVE</x:t>
        </x:is>
      </x:c>
      <x:c r="E1015" s="5">
        <x:v>0.046</x:v>
      </x:c>
      <x:c r="F1015" s="4">
        <x:v>0</x:v>
      </x:c>
      <x:c r="G1015" s="4">
        <x:v>29328</x:v>
      </x:c>
      <x:c r="H1015" s="6">
        <x:v>1120.89</x:v>
      </x:c>
      <x:c r="I1015" s="16">
        <x:v>1</x:v>
      </x:c>
      <x:c r="J1015">
        <x:v>174</x:v>
      </x:c>
      <x:c r="K1015" s="4">
        <x:v>8</x:v>
      </x:c>
      <x:c r="L1015" s="4">
        <x:v>104</x:v>
      </x:c>
      <x:c r="M1015" s="4">
        <x:v>0</x:v>
      </x:c>
      <x:c r="N1015" s="5">
        <x:v>0.0</x:v>
      </x:c>
    </x:row>
    <x:row r="1016" ht="24" customHeight="1">
      <x:c r="A1016" s="1" t="inlineStr">
        <x:is>
          <x:t xml:space="preserve">RESULT</x:t>
        </x:is>
      </x:c>
      <x:c r="B1016" s="1" t="inlineStr">
        <x:is>
          <x:t xml:space="preserve">Round2</x:t>
        </x:is>
      </x:c>
      <x:c r="C1016" s="1" t="inlineStr">
        <x:is>
          <x:t xml:space="preserve">Closure_3</x:t>
        </x:is>
      </x:c>
      <x:c r="D1016" s="1" t="inlineStr">
        <x:is>
          <x:t xml:space="preserve">NOT_REVEALING</x:t>
        </x:is>
      </x:c>
      <x:c r="E1016" s="5">
        <x:v>0.1023</x:v>
      </x:c>
      <x:c r="F1016" s="4">
        <x:v>0</x:v>
      </x:c>
      <x:c r="G1016" s="4">
        <x:v>29987</x:v>
      </x:c>
      <x:c r="H1016" s="6">
        <x:v>1080.18</x:v>
      </x:c>
      <x:c r="I1016" s="16">
        <x:v>1</x:v>
      </x:c>
      <x:c r="J1016">
        <x:v>176</x:v>
      </x:c>
      <x:c r="K1016" s="4">
        <x:v>18</x:v>
      </x:c>
      <x:c r="L1016" s="4">
        <x:v>127</x:v>
      </x:c>
      <x:c r="M1016" s="4">
        <x:v>9</x:v>
      </x:c>
      <x:c r="N1016" s="5">
        <x:v>0.0709</x:v>
      </x:c>
    </x:row>
    <x:row r="1017" ht="24" customHeight="1">
      <x:c r="A1017" s="1" t="inlineStr">
        <x:is>
          <x:t xml:space="preserve">RESULT</x:t>
        </x:is>
      </x:c>
      <x:c r="B1017" s="1" t="inlineStr">
        <x:is>
          <x:t xml:space="preserve">Round2</x:t>
        </x:is>
      </x:c>
      <x:c r="C1017" s="1" t="inlineStr">
        <x:is>
          <x:t xml:space="preserve">Closure_30</x:t>
        </x:is>
      </x:c>
      <x:c r="D1017" s="1" t="inlineStr">
        <x:is>
          <x:t xml:space="preserve">INCONCLUSIVE</x:t>
        </x:is>
      </x:c>
      <x:c r="E1017" s="5">
        <x:v>0.0697</x:v>
      </x:c>
      <x:c r="F1017" s="4">
        <x:v>0</x:v>
      </x:c>
      <x:c r="G1017" s="4">
        <x:v>44999</x:v>
      </x:c>
      <x:c r="H1017" s="6">
        <x:v>1547.99</x:v>
      </x:c>
      <x:c r="I1017" s="16">
        <x:v>1</x:v>
      </x:c>
      <x:c r="J1017">
        <x:v>330</x:v>
      </x:c>
      <x:c r="K1017" s="4">
        <x:v>23</x:v>
      </x:c>
      <x:c r="L1017" s="4">
        <x:v>222</x:v>
      </x:c>
      <x:c r="M1017" s="4">
        <x:v>5</x:v>
      </x:c>
      <x:c r="N1017" s="5">
        <x:v>0.0225</x:v>
      </x:c>
    </x:row>
    <x:row r="1018" ht="24" customHeight="1">
      <x:c r="A1018" s="1" t="inlineStr">
        <x:is>
          <x:t xml:space="preserve">RESULT</x:t>
        </x:is>
      </x:c>
      <x:c r="B1018" s="1" t="inlineStr">
        <x:is>
          <x:t xml:space="preserve">Round2</x:t>
        </x:is>
      </x:c>
      <x:c r="C1018" s="1" t="inlineStr">
        <x:is>
          <x:t xml:space="preserve">Closure_31</x:t>
        </x:is>
      </x:c>
      <x:c r="D1018" s="1" t="inlineStr">
        <x:is>
          <x:t xml:space="preserve">INCONCLUSIVE</x:t>
        </x:is>
      </x:c>
      <x:c r="E1018" s="5">
        <x:v>0.41490000000000005</x:v>
      </x:c>
      <x:c r="F1018" s="4">
        <x:v>0</x:v>
      </x:c>
      <x:c r="G1018" s="4">
        <x:v>34549</x:v>
      </x:c>
      <x:c r="H1018" s="6">
        <x:v>871.93</x:v>
      </x:c>
      <x:c r="I1018" s="16">
        <x:v>1</x:v>
      </x:c>
      <x:c r="J1018">
        <x:v>981</x:v>
      </x:c>
      <x:c r="K1018" s="4">
        <x:v>407</x:v>
      </x:c>
      <x:c r="L1018" s="4">
        <x:v>400</x:v>
      </x:c>
      <x:c r="M1018" s="4">
        <x:v>134</x:v>
      </x:c>
      <x:c r="N1018" s="5">
        <x:v>0.335</x:v>
      </x:c>
    </x:row>
    <x:row r="1019" ht="24" customHeight="1">
      <x:c r="A1019" s="1" t="inlineStr">
        <x:is>
          <x:t xml:space="preserve">RESULT</x:t>
        </x:is>
      </x:c>
      <x:c r="B1019" s="1" t="inlineStr">
        <x:is>
          <x:t xml:space="preserve">Round2</x:t>
        </x:is>
      </x:c>
      <x:c r="C1019" s="1" t="inlineStr">
        <x:is>
          <x:t xml:space="preserve">Closure_32</x:t>
        </x:is>
      </x:c>
      <x:c r="D1019" s="1" t="inlineStr">
        <x:is>
          <x:t xml:space="preserve">NOT_AVAILABLE</x:t>
        </x:is>
      </x:c>
      <x:c r="E1019" s="5"/>
      <x:c r="F1019" s="4">
        <x:v>0</x:v>
      </x:c>
      <x:c r="G1019" s="4">
        <x:v>31252</x:v>
      </x:c>
      <x:c r="H1019" s="6">
        <x:v>757.24</x:v>
      </x:c>
      <x:c r="I1019" s="16">
        <x:v>1</x:v>
      </x:c>
      <x:c r="J1019"/>
      <x:c r="K1019" s="4"/>
      <x:c r="L1019" s="4"/>
      <x:c r="M1019" s="4"/>
      <x:c r="N1019" s="5"/>
    </x:row>
    <x:row r="1020" ht="24" customHeight="1">
      <x:c r="A1020" s="1" t="inlineStr">
        <x:is>
          <x:t xml:space="preserve">RESULT</x:t>
        </x:is>
      </x:c>
      <x:c r="B1020" s="1" t="inlineStr">
        <x:is>
          <x:t xml:space="preserve">Round2</x:t>
        </x:is>
      </x:c>
      <x:c r="C1020" s="1" t="inlineStr">
        <x:is>
          <x:t xml:space="preserve">Closure_33</x:t>
        </x:is>
      </x:c>
      <x:c r="D1020" s="1" t="inlineStr">
        <x:is>
          <x:t xml:space="preserve">NOT_AVAILABLE</x:t>
        </x:is>
      </x:c>
      <x:c r="E1020" s="5"/>
      <x:c r="F1020" s="4">
        <x:v>0</x:v>
      </x:c>
      <x:c r="G1020" s="4">
        <x:v>29770</x:v>
      </x:c>
      <x:c r="H1020" s="6">
        <x:v>1120.16</x:v>
      </x:c>
      <x:c r="I1020" s="16">
        <x:v>1</x:v>
      </x:c>
      <x:c r="J1020"/>
      <x:c r="K1020" s="4"/>
      <x:c r="L1020" s="4"/>
      <x:c r="M1020" s="4"/>
      <x:c r="N1020" s="5"/>
    </x:row>
    <x:row r="1021" ht="24" customHeight="1">
      <x:c r="A1021" s="1" t="inlineStr">
        <x:is>
          <x:t xml:space="preserve">RESULT</x:t>
        </x:is>
      </x:c>
      <x:c r="B1021" s="1" t="inlineStr">
        <x:is>
          <x:t xml:space="preserve">Round2</x:t>
        </x:is>
      </x:c>
      <x:c r="C1021" s="1" t="inlineStr">
        <x:is>
          <x:t xml:space="preserve">Closure_34</x:t>
        </x:is>
      </x:c>
      <x:c r="D1021" s="1" t="inlineStr">
        <x:is>
          <x:t xml:space="preserve">NOT_AVAILABLE</x:t>
        </x:is>
      </x:c>
      <x:c r="E1021" s="5"/>
      <x:c r="F1021" s="4">
        <x:v>0</x:v>
      </x:c>
      <x:c r="G1021" s="4">
        <x:v>51362</x:v>
      </x:c>
      <x:c r="H1021" s="6">
        <x:v>1665.27</x:v>
      </x:c>
      <x:c r="I1021" s="16">
        <x:v>1</x:v>
      </x:c>
      <x:c r="J1021"/>
      <x:c r="K1021" s="4"/>
      <x:c r="L1021" s="4"/>
      <x:c r="M1021" s="4"/>
      <x:c r="N1021" s="5"/>
    </x:row>
    <x:row r="1022" ht="24" customHeight="1">
      <x:c r="A1022" s="1" t="inlineStr">
        <x:is>
          <x:t xml:space="preserve">RESULT</x:t>
        </x:is>
      </x:c>
      <x:c r="B1022" s="1" t="inlineStr">
        <x:is>
          <x:t xml:space="preserve">Round2</x:t>
        </x:is>
      </x:c>
      <x:c r="C1022" s="1" t="inlineStr">
        <x:is>
          <x:t xml:space="preserve">Closure_35</x:t>
        </x:is>
      </x:c>
      <x:c r="D1022" s="1" t="inlineStr">
        <x:is>
          <x:t xml:space="preserve">INCONCLUSIVE</x:t>
        </x:is>
      </x:c>
      <x:c r="E1022" s="5">
        <x:v>0.0</x:v>
      </x:c>
      <x:c r="F1022" s="4">
        <x:v>0</x:v>
      </x:c>
      <x:c r="G1022" s="4">
        <x:v>33003</x:v>
      </x:c>
      <x:c r="H1022" s="6">
        <x:v>1071.15</x:v>
      </x:c>
      <x:c r="I1022" s="16">
        <x:v>1</x:v>
      </x:c>
      <x:c r="J1022">
        <x:v>626</x:v>
      </x:c>
      <x:c r="K1022" s="4">
        <x:v>0</x:v>
      </x:c>
      <x:c r="L1022" s="4">
        <x:v>422</x:v>
      </x:c>
      <x:c r="M1022" s="4">
        <x:v>0</x:v>
      </x:c>
      <x:c r="N1022" s="5">
        <x:v>0.0</x:v>
      </x:c>
    </x:row>
    <x:row r="1023" ht="24" customHeight="1">
      <x:c r="A1023" s="1" t="inlineStr">
        <x:is>
          <x:t xml:space="preserve">RESULT</x:t>
        </x:is>
      </x:c>
      <x:c r="B1023" s="1" t="inlineStr">
        <x:is>
          <x:t xml:space="preserve">Round2</x:t>
        </x:is>
      </x:c>
      <x:c r="C1023" s="1" t="inlineStr">
        <x:is>
          <x:t xml:space="preserve">Closure_36</x:t>
        </x:is>
      </x:c>
      <x:c r="D1023" s="1" t="inlineStr">
        <x:is>
          <x:t xml:space="preserve">NOT_AVAILABLE</x:t>
        </x:is>
      </x:c>
      <x:c r="E1023" s="5"/>
      <x:c r="F1023" s="4">
        <x:v>0</x:v>
      </x:c>
      <x:c r="G1023" s="4">
        <x:v>21770</x:v>
      </x:c>
      <x:c r="H1023" s="6">
        <x:v>742.57</x:v>
      </x:c>
      <x:c r="I1023" s="16">
        <x:v>1</x:v>
      </x:c>
      <x:c r="J1023"/>
      <x:c r="K1023" s="4"/>
      <x:c r="L1023" s="4"/>
      <x:c r="M1023" s="4"/>
      <x:c r="N1023" s="5"/>
    </x:row>
    <x:row r="1024" ht="24" customHeight="1">
      <x:c r="A1024" s="1" t="inlineStr">
        <x:is>
          <x:t xml:space="preserve">RESULT</x:t>
        </x:is>
      </x:c>
      <x:c r="B1024" s="1" t="inlineStr">
        <x:is>
          <x:t xml:space="preserve">Round2</x:t>
        </x:is>
      </x:c>
      <x:c r="C1024" s="1" t="inlineStr">
        <x:is>
          <x:t xml:space="preserve">Closure_37</x:t>
        </x:is>
      </x:c>
      <x:c r="D1024" s="1" t="inlineStr">
        <x:is>
          <x:t xml:space="preserve">NOT_AVAILABLE</x:t>
        </x:is>
      </x:c>
      <x:c r="E1024" s="5"/>
      <x:c r="F1024" s="4">
        <x:v>0</x:v>
      </x:c>
      <x:c r="G1024" s="4">
        <x:v>69889</x:v>
      </x:c>
      <x:c r="H1024" s="6">
        <x:v>2437.21</x:v>
      </x:c>
      <x:c r="I1024" s="16">
        <x:v>1</x:v>
      </x:c>
      <x:c r="J1024"/>
      <x:c r="K1024" s="4"/>
      <x:c r="L1024" s="4"/>
      <x:c r="M1024" s="4"/>
      <x:c r="N1024" s="5"/>
    </x:row>
    <x:row r="1025" ht="24" customHeight="1">
      <x:c r="A1025" s="1" t="inlineStr">
        <x:is>
          <x:t xml:space="preserve">RESULT</x:t>
        </x:is>
      </x:c>
      <x:c r="B1025" s="1" t="inlineStr">
        <x:is>
          <x:t xml:space="preserve">Round2</x:t>
        </x:is>
      </x:c>
      <x:c r="C1025" s="1" t="inlineStr">
        <x:is>
          <x:t xml:space="preserve">Closure_38</x:t>
        </x:is>
      </x:c>
      <x:c r="D1025" s="1" t="inlineStr">
        <x:is>
          <x:t xml:space="preserve">INCONCLUSIVE</x:t>
        </x:is>
      </x:c>
      <x:c r="E1025" s="5">
        <x:v>0.6875</x:v>
      </x:c>
      <x:c r="F1025" s="4">
        <x:v>0</x:v>
      </x:c>
      <x:c r="G1025" s="4"/>
      <x:c r="H1025" s="6"/>
      <x:c r="I1025" s="16">
        <x:v>1</x:v>
      </x:c>
      <x:c r="J1025">
        <x:v>112</x:v>
      </x:c>
      <x:c r="K1025" s="4">
        <x:v>77</x:v>
      </x:c>
      <x:c r="L1025" s="4">
        <x:v>64</x:v>
      </x:c>
      <x:c r="M1025" s="4">
        <x:v>43</x:v>
      </x:c>
      <x:c r="N1025" s="5">
        <x:v>0.6718999999999999</x:v>
      </x:c>
    </x:row>
    <x:row r="1026" ht="24" customHeight="1">
      <x:c r="A1026" s="1" t="inlineStr">
        <x:is>
          <x:t xml:space="preserve">RESULT</x:t>
        </x:is>
      </x:c>
      <x:c r="B1026" s="1" t="inlineStr">
        <x:is>
          <x:t xml:space="preserve">Round2</x:t>
        </x:is>
      </x:c>
      <x:c r="C1026" s="1" t="inlineStr">
        <x:is>
          <x:t xml:space="preserve">Closure_39</x:t>
        </x:is>
      </x:c>
      <x:c r="D1026" s="1" t="inlineStr">
        <x:is>
          <x:t xml:space="preserve">NOT_AVAILABLE</x:t>
        </x:is>
      </x:c>
      <x:c r="E1026" s="5"/>
      <x:c r="F1026" s="4">
        <x:v>0</x:v>
      </x:c>
      <x:c r="G1026" s="4">
        <x:v>30873</x:v>
      </x:c>
      <x:c r="H1026" s="6">
        <x:v>1155.69</x:v>
      </x:c>
      <x:c r="I1026" s="16">
        <x:v>1</x:v>
      </x:c>
      <x:c r="J1026"/>
      <x:c r="K1026" s="4"/>
      <x:c r="L1026" s="4"/>
      <x:c r="M1026" s="4"/>
      <x:c r="N1026" s="5"/>
    </x:row>
    <x:row r="1027" ht="24" customHeight="1">
      <x:c r="A1027" s="1" t="inlineStr">
        <x:is>
          <x:t xml:space="preserve">RESULT</x:t>
        </x:is>
      </x:c>
      <x:c r="B1027" s="1" t="inlineStr">
        <x:is>
          <x:t xml:space="preserve">Round2</x:t>
        </x:is>
      </x:c>
      <x:c r="C1027" s="1" t="inlineStr">
        <x:is>
          <x:t xml:space="preserve">Closure_4</x:t>
        </x:is>
      </x:c>
      <x:c r="D1027" s="1" t="inlineStr">
        <x:is>
          <x:t xml:space="preserve">NOT_REVEALING</x:t>
        </x:is>
      </x:c>
      <x:c r="E1027" s="5">
        <x:v>0.1818</x:v>
      </x:c>
      <x:c r="F1027" s="4">
        <x:v>0</x:v>
      </x:c>
      <x:c r="G1027" s="4">
        <x:v>17783</x:v>
      </x:c>
      <x:c r="H1027" s="6">
        <x:v>603.03</x:v>
      </x:c>
      <x:c r="I1027" s="16">
        <x:v>1</x:v>
      </x:c>
      <x:c r="J1027">
        <x:v>132</x:v>
      </x:c>
      <x:c r="K1027" s="4">
        <x:v>24</x:v>
      </x:c>
      <x:c r="L1027" s="4">
        <x:v>86</x:v>
      </x:c>
      <x:c r="M1027" s="4">
        <x:v>2</x:v>
      </x:c>
      <x:c r="N1027" s="5">
        <x:v>0.0233</x:v>
      </x:c>
    </x:row>
    <x:row r="1028" ht="24" customHeight="1">
      <x:c r="A1028" s="1" t="inlineStr">
        <x:is>
          <x:t xml:space="preserve">RESULT</x:t>
        </x:is>
      </x:c>
      <x:c r="B1028" s="1" t="inlineStr">
        <x:is>
          <x:t xml:space="preserve">Round2</x:t>
        </x:is>
      </x:c>
      <x:c r="C1028" s="1" t="inlineStr">
        <x:is>
          <x:t xml:space="preserve">Closure_40</x:t>
        </x:is>
      </x:c>
      <x:c r="D1028" s="1" t="inlineStr">
        <x:is>
          <x:t xml:space="preserve">NOT_AVAILABLE</x:t>
        </x:is>
      </x:c>
      <x:c r="E1028" s="5"/>
      <x:c r="F1028" s="4">
        <x:v>0</x:v>
      </x:c>
      <x:c r="G1028" s="4">
        <x:v>26549</x:v>
      </x:c>
      <x:c r="H1028" s="6">
        <x:v>759.0</x:v>
      </x:c>
      <x:c r="I1028" s="16">
        <x:v>1</x:v>
      </x:c>
      <x:c r="J1028"/>
      <x:c r="K1028" s="4"/>
      <x:c r="L1028" s="4"/>
      <x:c r="M1028" s="4"/>
      <x:c r="N1028" s="5"/>
    </x:row>
    <x:row r="1029" ht="24" customHeight="1">
      <x:c r="A1029" s="1" t="inlineStr">
        <x:is>
          <x:t xml:space="preserve">RESULT</x:t>
        </x:is>
      </x:c>
      <x:c r="B1029" s="1" t="inlineStr">
        <x:is>
          <x:t xml:space="preserve">Round2</x:t>
        </x:is>
      </x:c>
      <x:c r="C1029" s="1" t="inlineStr">
        <x:is>
          <x:t xml:space="preserve">Closure_41</x:t>
        </x:is>
      </x:c>
      <x:c r="D1029" s="1" t="inlineStr">
        <x:is>
          <x:t xml:space="preserve">NOT_AVAILABLE</x:t>
        </x:is>
      </x:c>
      <x:c r="E1029" s="5"/>
      <x:c r="F1029" s="4">
        <x:v>0</x:v>
      </x:c>
      <x:c r="G1029" s="4">
        <x:v>22954</x:v>
      </x:c>
      <x:c r="H1029" s="6">
        <x:v>738.31</x:v>
      </x:c>
      <x:c r="I1029" s="16">
        <x:v>1</x:v>
      </x:c>
      <x:c r="J1029"/>
      <x:c r="K1029" s="4"/>
      <x:c r="L1029" s="4"/>
      <x:c r="M1029" s="4"/>
      <x:c r="N1029" s="5"/>
    </x:row>
    <x:row r="1030" ht="24" customHeight="1">
      <x:c r="A1030" s="1" t="inlineStr">
        <x:is>
          <x:t xml:space="preserve">RESULT</x:t>
        </x:is>
      </x:c>
      <x:c r="B1030" s="1" t="inlineStr">
        <x:is>
          <x:t xml:space="preserve">Round2</x:t>
        </x:is>
      </x:c>
      <x:c r="C1030" s="1" t="inlineStr">
        <x:is>
          <x:t xml:space="preserve">Closure_42</x:t>
        </x:is>
      </x:c>
      <x:c r="D1030" s="1" t="inlineStr">
        <x:is>
          <x:t xml:space="preserve">NOT_AVAILABLE</x:t>
        </x:is>
      </x:c>
      <x:c r="E1030" s="5"/>
      <x:c r="F1030" s="4">
        <x:v>0</x:v>
      </x:c>
      <x:c r="G1030" s="4">
        <x:v>33956</x:v>
      </x:c>
      <x:c r="H1030" s="6">
        <x:v>1021.25</x:v>
      </x:c>
      <x:c r="I1030" s="16">
        <x:v>1</x:v>
      </x:c>
      <x:c r="J1030"/>
      <x:c r="K1030" s="4"/>
      <x:c r="L1030" s="4"/>
      <x:c r="M1030" s="4"/>
      <x:c r="N1030" s="5"/>
    </x:row>
    <x:row r="1031" ht="24" customHeight="1">
      <x:c r="A1031" s="1" t="inlineStr">
        <x:is>
          <x:t xml:space="preserve">RESULT</x:t>
        </x:is>
      </x:c>
      <x:c r="B1031" s="1" t="inlineStr">
        <x:is>
          <x:t xml:space="preserve">Round2</x:t>
        </x:is>
      </x:c>
      <x:c r="C1031" s="1" t="inlineStr">
        <x:is>
          <x:t xml:space="preserve">Closure_43</x:t>
        </x:is>
      </x:c>
      <x:c r="D1031" s="1" t="inlineStr">
        <x:is>
          <x:t xml:space="preserve">NOT_AVAILABLE</x:t>
        </x:is>
      </x:c>
      <x:c r="E1031" s="5"/>
      <x:c r="F1031" s="4">
        <x:v>0</x:v>
      </x:c>
      <x:c r="G1031" s="4">
        <x:v>44781</x:v>
      </x:c>
      <x:c r="H1031" s="6">
        <x:v>370.54</x:v>
      </x:c>
      <x:c r="I1031" s="16">
        <x:v>1</x:v>
      </x:c>
      <x:c r="J1031"/>
      <x:c r="K1031" s="4"/>
      <x:c r="L1031" s="4"/>
      <x:c r="M1031" s="4"/>
      <x:c r="N1031" s="5"/>
    </x:row>
    <x:row r="1032" ht="24" customHeight="1">
      <x:c r="A1032" s="1" t="inlineStr">
        <x:is>
          <x:t xml:space="preserve">RESULT</x:t>
        </x:is>
      </x:c>
      <x:c r="B1032" s="1" t="inlineStr">
        <x:is>
          <x:t xml:space="preserve">Round2</x:t>
        </x:is>
      </x:c>
      <x:c r="C1032" s="1" t="inlineStr">
        <x:is>
          <x:t xml:space="preserve">Closure_44</x:t>
        </x:is>
      </x:c>
      <x:c r="D1032" s="1" t="inlineStr">
        <x:is>
          <x:t xml:space="preserve">INCONCLUSIVE</x:t>
        </x:is>
      </x:c>
      <x:c r="E1032" s="5">
        <x:v>0.8349</x:v>
      </x:c>
      <x:c r="F1032" s="4">
        <x:v>0</x:v>
      </x:c>
      <x:c r="G1032" s="4"/>
      <x:c r="H1032" s="6"/>
      <x:c r="I1032" s="16">
        <x:v>1</x:v>
      </x:c>
      <x:c r="J1032">
        <x:v>109</x:v>
      </x:c>
      <x:c r="K1032" s="4">
        <x:v>91</x:v>
      </x:c>
      <x:c r="L1032" s="4">
        <x:v>60</x:v>
      </x:c>
      <x:c r="M1032" s="4">
        <x:v>53</x:v>
      </x:c>
      <x:c r="N1032" s="5">
        <x:v>0.8833</x:v>
      </x:c>
    </x:row>
    <x:row r="1033" ht="24" customHeight="1">
      <x:c r="A1033" s="1" t="inlineStr">
        <x:is>
          <x:t xml:space="preserve">RESULT</x:t>
        </x:is>
      </x:c>
      <x:c r="B1033" s="1" t="inlineStr">
        <x:is>
          <x:t xml:space="preserve">Round2</x:t>
        </x:is>
      </x:c>
      <x:c r="C1033" s="1" t="inlineStr">
        <x:is>
          <x:t xml:space="preserve">Closure_45</x:t>
        </x:is>
      </x:c>
      <x:c r="D1033" s="1" t="inlineStr">
        <x:is>
          <x:t xml:space="preserve">NOT_AVAILABLE</x:t>
        </x:is>
      </x:c>
      <x:c r="E1033" s="5"/>
      <x:c r="F1033" s="4">
        <x:v>0</x:v>
      </x:c>
      <x:c r="G1033" s="4">
        <x:v>26183</x:v>
      </x:c>
      <x:c r="H1033" s="6">
        <x:v>916.52</x:v>
      </x:c>
      <x:c r="I1033" s="16">
        <x:v>1</x:v>
      </x:c>
      <x:c r="J1033"/>
      <x:c r="K1033" s="4"/>
      <x:c r="L1033" s="4"/>
      <x:c r="M1033" s="4"/>
      <x:c r="N1033" s="5"/>
    </x:row>
    <x:row r="1034" ht="24" customHeight="1">
      <x:c r="A1034" s="1" t="inlineStr">
        <x:is>
          <x:t xml:space="preserve">RESULT</x:t>
        </x:is>
      </x:c>
      <x:c r="B1034" s="1" t="inlineStr">
        <x:is>
          <x:t xml:space="preserve">Round2</x:t>
        </x:is>
      </x:c>
      <x:c r="C1034" s="1" t="inlineStr">
        <x:is>
          <x:t xml:space="preserve">Closure_46</x:t>
        </x:is>
      </x:c>
      <x:c r="D1034" s="1" t="inlineStr">
        <x:is>
          <x:t xml:space="preserve">NOT_AVAILABLE</x:t>
        </x:is>
      </x:c>
      <x:c r="E1034" s="5"/>
      <x:c r="F1034" s="4">
        <x:v>0</x:v>
      </x:c>
      <x:c r="G1034" s="4">
        <x:v>25595</x:v>
      </x:c>
      <x:c r="H1034" s="6">
        <x:v>984.74</x:v>
      </x:c>
      <x:c r="I1034" s="16">
        <x:v>1</x:v>
      </x:c>
      <x:c r="J1034"/>
      <x:c r="K1034" s="4"/>
      <x:c r="L1034" s="4"/>
      <x:c r="M1034" s="4"/>
      <x:c r="N1034" s="5"/>
    </x:row>
    <x:row r="1035" ht="24" customHeight="1">
      <x:c r="A1035" s="1" t="inlineStr">
        <x:is>
          <x:t xml:space="preserve">RESULT</x:t>
        </x:is>
      </x:c>
      <x:c r="B1035" s="1" t="inlineStr">
        <x:is>
          <x:t xml:space="preserve">Round2</x:t>
        </x:is>
      </x:c>
      <x:c r="C1035" s="1" t="inlineStr">
        <x:is>
          <x:t xml:space="preserve">Closure_47</x:t>
        </x:is>
      </x:c>
      <x:c r="D1035" s="1" t="inlineStr">
        <x:is>
          <x:t xml:space="preserve">NOT_AVAILABLE</x:t>
        </x:is>
      </x:c>
      <x:c r="E1035" s="5"/>
      <x:c r="F1035" s="4">
        <x:v>0</x:v>
      </x:c>
      <x:c r="G1035" s="4">
        <x:v>49791</x:v>
      </x:c>
      <x:c r="H1035" s="6">
        <x:v>1898.35</x:v>
      </x:c>
      <x:c r="I1035" s="16">
        <x:v>1</x:v>
      </x:c>
      <x:c r="J1035"/>
      <x:c r="K1035" s="4"/>
      <x:c r="L1035" s="4"/>
      <x:c r="M1035" s="4"/>
      <x:c r="N1035" s="5"/>
    </x:row>
    <x:row r="1036" ht="24" customHeight="1">
      <x:c r="A1036" s="1" t="inlineStr">
        <x:is>
          <x:t xml:space="preserve">RESULT</x:t>
        </x:is>
      </x:c>
      <x:c r="B1036" s="1" t="inlineStr">
        <x:is>
          <x:t xml:space="preserve">Round2</x:t>
        </x:is>
      </x:c>
      <x:c r="C1036" s="1" t="inlineStr">
        <x:is>
          <x:t xml:space="preserve">Closure_48</x:t>
        </x:is>
      </x:c>
      <x:c r="D1036" s="1" t="inlineStr">
        <x:is>
          <x:t xml:space="preserve">INCONCLUSIVE</x:t>
        </x:is>
      </x:c>
      <x:c r="E1036" s="5">
        <x:v>0.0641</x:v>
      </x:c>
      <x:c r="F1036" s="4">
        <x:v>0</x:v>
      </x:c>
      <x:c r="G1036" s="4">
        <x:v>32355</x:v>
      </x:c>
      <x:c r="H1036" s="6">
        <x:v>824.58</x:v>
      </x:c>
      <x:c r="I1036" s="16">
        <x:v>1</x:v>
      </x:c>
      <x:c r="J1036">
        <x:v>827</x:v>
      </x:c>
      <x:c r="K1036" s="4">
        <x:v>53</x:v>
      </x:c>
      <x:c r="L1036" s="4">
        <x:v>641</x:v>
      </x:c>
      <x:c r="M1036" s="4">
        <x:v>10</x:v>
      </x:c>
      <x:c r="N1036" s="5">
        <x:v>0.015600000000000001</x:v>
      </x:c>
    </x:row>
    <x:row r="1037" ht="24" customHeight="1">
      <x:c r="A1037" s="1" t="inlineStr">
        <x:is>
          <x:t xml:space="preserve">RESULT</x:t>
        </x:is>
      </x:c>
      <x:c r="B1037" s="1" t="inlineStr">
        <x:is>
          <x:t xml:space="preserve">Round2</x:t>
        </x:is>
      </x:c>
      <x:c r="C1037" s="1" t="inlineStr">
        <x:is>
          <x:t xml:space="preserve">Closure_49</x:t>
        </x:is>
      </x:c>
      <x:c r="D1037" s="1" t="inlineStr">
        <x:is>
          <x:t xml:space="preserve">NOT_AVAILABLE</x:t>
        </x:is>
      </x:c>
      <x:c r="E1037" s="5"/>
      <x:c r="F1037" s="4">
        <x:v>0</x:v>
      </x:c>
      <x:c r="G1037" s="4">
        <x:v>27664</x:v>
      </x:c>
      <x:c r="H1037" s="6">
        <x:v>1070.76</x:v>
      </x:c>
      <x:c r="I1037" s="16">
        <x:v>1</x:v>
      </x:c>
      <x:c r="J1037"/>
      <x:c r="K1037" s="4"/>
      <x:c r="L1037" s="4"/>
      <x:c r="M1037" s="4"/>
      <x:c r="N1037" s="5"/>
    </x:row>
    <x:row r="1038" ht="24" customHeight="1">
      <x:c r="A1038" s="1" t="inlineStr">
        <x:is>
          <x:t xml:space="preserve">RESULT</x:t>
        </x:is>
      </x:c>
      <x:c r="B1038" s="1" t="inlineStr">
        <x:is>
          <x:t xml:space="preserve">Round2</x:t>
        </x:is>
      </x:c>
      <x:c r="C1038" s="1" t="inlineStr">
        <x:is>
          <x:t xml:space="preserve">Closure_5</x:t>
        </x:is>
      </x:c>
      <x:c r="D1038" s="1" t="inlineStr">
        <x:is>
          <x:t xml:space="preserve">INCONCLUSIVE</x:t>
        </x:is>
      </x:c>
      <x:c r="E1038" s="5">
        <x:v>0.044199999999999996</x:v>
      </x:c>
      <x:c r="F1038" s="4">
        <x:v>0</x:v>
      </x:c>
      <x:c r="G1038" s="4">
        <x:v>26570</x:v>
      </x:c>
      <x:c r="H1038" s="6">
        <x:v>986.68</x:v>
      </x:c>
      <x:c r="I1038" s="16">
        <x:v>1</x:v>
      </x:c>
      <x:c r="J1038">
        <x:v>181</x:v>
      </x:c>
      <x:c r="K1038" s="4">
        <x:v>8</x:v>
      </x:c>
      <x:c r="L1038" s="4">
        <x:v>108</x:v>
      </x:c>
      <x:c r="M1038" s="4">
        <x:v>0</x:v>
      </x:c>
      <x:c r="N1038" s="5">
        <x:v>0.0</x:v>
      </x:c>
    </x:row>
    <x:row r="1039" ht="24" customHeight="1">
      <x:c r="A1039" s="1" t="inlineStr">
        <x:is>
          <x:t xml:space="preserve">RESULT</x:t>
        </x:is>
      </x:c>
      <x:c r="B1039" s="1" t="inlineStr">
        <x:is>
          <x:t xml:space="preserve">Round2</x:t>
        </x:is>
      </x:c>
      <x:c r="C1039" s="1" t="inlineStr">
        <x:is>
          <x:t xml:space="preserve">Closure_50</x:t>
        </x:is>
      </x:c>
      <x:c r="D1039" s="1" t="inlineStr">
        <x:is>
          <x:t xml:space="preserve">INCONCLUSIVE</x:t>
        </x:is>
      </x:c>
      <x:c r="E1039" s="5">
        <x:v>0.5227</x:v>
      </x:c>
      <x:c r="F1039" s="4">
        <x:v>0</x:v>
      </x:c>
      <x:c r="G1039" s="4"/>
      <x:c r="H1039" s="6"/>
      <x:c r="I1039" s="16">
        <x:v>1</x:v>
      </x:c>
      <x:c r="J1039">
        <x:v>308</x:v>
      </x:c>
      <x:c r="K1039" s="4">
        <x:v>161</x:v>
      </x:c>
      <x:c r="L1039" s="4">
        <x:v>245</x:v>
      </x:c>
      <x:c r="M1039" s="4">
        <x:v>102</x:v>
      </x:c>
      <x:c r="N1039" s="5">
        <x:v>0.4163</x:v>
      </x:c>
    </x:row>
    <x:row r="1040" ht="24" customHeight="1">
      <x:c r="A1040" s="1" t="inlineStr">
        <x:is>
          <x:t xml:space="preserve">RESULT</x:t>
        </x:is>
      </x:c>
      <x:c r="B1040" s="1" t="inlineStr">
        <x:is>
          <x:t xml:space="preserve">Round2</x:t>
        </x:is>
      </x:c>
      <x:c r="C1040" s="1" t="inlineStr">
        <x:is>
          <x:t xml:space="preserve">Closure_51</x:t>
        </x:is>
      </x:c>
      <x:c r="D1040" s="1" t="inlineStr">
        <x:is>
          <x:t xml:space="preserve">INCONCLUSIVE</x:t>
        </x:is>
      </x:c>
      <x:c r="E1040" s="5">
        <x:v>0.9444</x:v>
      </x:c>
      <x:c r="F1040" s="4">
        <x:v>0</x:v>
      </x:c>
      <x:c r="G1040" s="4">
        <x:v>5622</x:v>
      </x:c>
      <x:c r="H1040" s="6">
        <x:v>67.49</x:v>
      </x:c>
      <x:c r="I1040" s="16">
        <x:v>1</x:v>
      </x:c>
      <x:c r="J1040">
        <x:v>108</x:v>
      </x:c>
      <x:c r="K1040" s="4">
        <x:v>102</x:v>
      </x:c>
      <x:c r="L1040" s="4">
        <x:v>54</x:v>
      </x:c>
      <x:c r="M1040" s="4">
        <x:v>52</x:v>
      </x:c>
      <x:c r="N1040" s="5">
        <x:v>0.963</x:v>
      </x:c>
    </x:row>
    <x:row r="1041" ht="24" customHeight="1">
      <x:c r="A1041" s="1" t="inlineStr">
        <x:is>
          <x:t xml:space="preserve">RESULT</x:t>
        </x:is>
      </x:c>
      <x:c r="B1041" s="1" t="inlineStr">
        <x:is>
          <x:t xml:space="preserve">Round2</x:t>
        </x:is>
      </x:c>
      <x:c r="C1041" s="1" t="inlineStr">
        <x:is>
          <x:t xml:space="preserve">Closure_52</x:t>
        </x:is>
      </x:c>
      <x:c r="D1041" s="1" t="inlineStr">
        <x:is>
          <x:t xml:space="preserve">NOT_AVAILABLE</x:t>
        </x:is>
      </x:c>
      <x:c r="E1041" s="5"/>
      <x:c r="F1041" s="4">
        <x:v>0</x:v>
      </x:c>
      <x:c r="G1041" s="4">
        <x:v>34585</x:v>
      </x:c>
      <x:c r="H1041" s="6">
        <x:v>1057.91</x:v>
      </x:c>
      <x:c r="I1041" s="16">
        <x:v>1</x:v>
      </x:c>
      <x:c r="J1041"/>
      <x:c r="K1041" s="4"/>
      <x:c r="L1041" s="4"/>
      <x:c r="M1041" s="4"/>
      <x:c r="N1041" s="5"/>
    </x:row>
    <x:row r="1042" ht="24" customHeight="1">
      <x:c r="A1042" s="1" t="inlineStr">
        <x:is>
          <x:t xml:space="preserve">RESULT</x:t>
        </x:is>
      </x:c>
      <x:c r="B1042" s="1" t="inlineStr">
        <x:is>
          <x:t xml:space="preserve">Round2</x:t>
        </x:is>
      </x:c>
      <x:c r="C1042" s="1" t="inlineStr">
        <x:is>
          <x:t xml:space="preserve">Closure_53</x:t>
        </x:is>
      </x:c>
      <x:c r="D1042" s="1" t="inlineStr">
        <x:is>
          <x:t xml:space="preserve">NOT_AVAILABLE</x:t>
        </x:is>
      </x:c>
      <x:c r="E1042" s="5"/>
      <x:c r="F1042" s="4">
        <x:v>0</x:v>
      </x:c>
      <x:c r="G1042" s="4">
        <x:v>8653</x:v>
      </x:c>
      <x:c r="H1042" s="6">
        <x:v>152.34</x:v>
      </x:c>
      <x:c r="I1042" s="16">
        <x:v>1</x:v>
      </x:c>
      <x:c r="J1042"/>
      <x:c r="K1042" s="4"/>
      <x:c r="L1042" s="4"/>
      <x:c r="M1042" s="4"/>
      <x:c r="N1042" s="5"/>
    </x:row>
    <x:row r="1043" ht="24" customHeight="1">
      <x:c r="A1043" s="1" t="inlineStr">
        <x:is>
          <x:t xml:space="preserve">RESULT</x:t>
        </x:is>
      </x:c>
      <x:c r="B1043" s="1" t="inlineStr">
        <x:is>
          <x:t xml:space="preserve">Round2</x:t>
        </x:is>
      </x:c>
      <x:c r="C1043" s="1" t="inlineStr">
        <x:is>
          <x:t xml:space="preserve">Closure_54</x:t>
        </x:is>
      </x:c>
      <x:c r="D1043" s="1" t="inlineStr">
        <x:is>
          <x:t xml:space="preserve">NOT_AVAILABLE</x:t>
        </x:is>
      </x:c>
      <x:c r="E1043" s="5"/>
      <x:c r="F1043" s="4">
        <x:v>0</x:v>
      </x:c>
      <x:c r="G1043" s="4">
        <x:v>29151</x:v>
      </x:c>
      <x:c r="H1043" s="6">
        <x:v>112.84</x:v>
      </x:c>
      <x:c r="I1043" s="16">
        <x:v>1</x:v>
      </x:c>
      <x:c r="J1043"/>
      <x:c r="K1043" s="4"/>
      <x:c r="L1043" s="4"/>
      <x:c r="M1043" s="4"/>
      <x:c r="N1043" s="5"/>
    </x:row>
    <x:row r="1044" ht="24" customHeight="1">
      <x:c r="A1044" s="1" t="inlineStr">
        <x:is>
          <x:t xml:space="preserve">RESULT</x:t>
        </x:is>
      </x:c>
      <x:c r="B1044" s="1" t="inlineStr">
        <x:is>
          <x:t xml:space="preserve">Round2</x:t>
        </x:is>
      </x:c>
      <x:c r="C1044" s="1" t="inlineStr">
        <x:is>
          <x:t xml:space="preserve">Closure_55</x:t>
        </x:is>
      </x:c>
      <x:c r="D1044" s="1" t="inlineStr">
        <x:is>
          <x:t xml:space="preserve">NOT_AVAILABLE</x:t>
        </x:is>
      </x:c>
      <x:c r="E1044" s="5"/>
      <x:c r="F1044" s="4">
        <x:v>0</x:v>
      </x:c>
      <x:c r="G1044" s="4">
        <x:v>23678</x:v>
      </x:c>
      <x:c r="H1044" s="6">
        <x:v>246.9</x:v>
      </x:c>
      <x:c r="I1044" s="16">
        <x:v>1</x:v>
      </x:c>
      <x:c r="J1044"/>
      <x:c r="K1044" s="4"/>
      <x:c r="L1044" s="4"/>
      <x:c r="M1044" s="4"/>
      <x:c r="N1044" s="5"/>
    </x:row>
    <x:row r="1045" ht="24" customHeight="1">
      <x:c r="A1045" s="1" t="inlineStr">
        <x:is>
          <x:t xml:space="preserve">RESULT</x:t>
        </x:is>
      </x:c>
      <x:c r="B1045" s="1" t="inlineStr">
        <x:is>
          <x:t xml:space="preserve">Round2</x:t>
        </x:is>
      </x:c>
      <x:c r="C1045" s="1" t="inlineStr">
        <x:is>
          <x:t xml:space="preserve">Closure_56</x:t>
        </x:is>
      </x:c>
      <x:c r="D1045" s="1" t="inlineStr">
        <x:is>
          <x:t xml:space="preserve">NOT_AVAILABLE</x:t>
        </x:is>
      </x:c>
      <x:c r="E1045" s="5"/>
      <x:c r="F1045" s="4">
        <x:v>0</x:v>
      </x:c>
      <x:c r="G1045" s="4">
        <x:v>15238</x:v>
      </x:c>
      <x:c r="H1045" s="6">
        <x:v>136.27</x:v>
      </x:c>
      <x:c r="I1045" s="16">
        <x:v>1</x:v>
      </x:c>
      <x:c r="J1045"/>
      <x:c r="K1045" s="4"/>
      <x:c r="L1045" s="4"/>
      <x:c r="M1045" s="4"/>
      <x:c r="N1045" s="5"/>
    </x:row>
    <x:row r="1046" ht="24" customHeight="1">
      <x:c r="A1046" s="1" t="inlineStr">
        <x:is>
          <x:t xml:space="preserve">RESULT</x:t>
        </x:is>
      </x:c>
      <x:c r="B1046" s="1" t="inlineStr">
        <x:is>
          <x:t xml:space="preserve">Round2</x:t>
        </x:is>
      </x:c>
      <x:c r="C1046" s="1" t="inlineStr">
        <x:is>
          <x:t xml:space="preserve">Closure_57</x:t>
        </x:is>
      </x:c>
      <x:c r="D1046" s="1" t="inlineStr">
        <x:is>
          <x:t xml:space="preserve">NOT_AVAILABLE</x:t>
        </x:is>
      </x:c>
      <x:c r="E1046" s="5"/>
      <x:c r="F1046" s="4">
        <x:v>0</x:v>
      </x:c>
      <x:c r="G1046" s="4">
        <x:v>33195</x:v>
      </x:c>
      <x:c r="H1046" s="6">
        <x:v>1332.04</x:v>
      </x:c>
      <x:c r="I1046" s="16">
        <x:v>1</x:v>
      </x:c>
      <x:c r="J1046"/>
      <x:c r="K1046" s="4"/>
      <x:c r="L1046" s="4"/>
      <x:c r="M1046" s="4"/>
      <x:c r="N1046" s="5"/>
    </x:row>
    <x:row r="1047" ht="24" customHeight="1">
      <x:c r="A1047" s="1" t="inlineStr">
        <x:is>
          <x:t xml:space="preserve">RESULT</x:t>
        </x:is>
      </x:c>
      <x:c r="B1047" s="1" t="inlineStr">
        <x:is>
          <x:t xml:space="preserve">Round2</x:t>
        </x:is>
      </x:c>
      <x:c r="C1047" s="1" t="inlineStr">
        <x:is>
          <x:t xml:space="preserve">Closure_58</x:t>
        </x:is>
      </x:c>
      <x:c r="D1047" s="1" t="inlineStr">
        <x:is>
          <x:t xml:space="preserve">NOT_AVAILABLE</x:t>
        </x:is>
      </x:c>
      <x:c r="E1047" s="5"/>
      <x:c r="F1047" s="4">
        <x:v>0</x:v>
      </x:c>
      <x:c r="G1047" s="4">
        <x:v>26831</x:v>
      </x:c>
      <x:c r="H1047" s="6">
        <x:v>1146.82</x:v>
      </x:c>
      <x:c r="I1047" s="16">
        <x:v>1</x:v>
      </x:c>
      <x:c r="J1047"/>
      <x:c r="K1047" s="4"/>
      <x:c r="L1047" s="4"/>
      <x:c r="M1047" s="4"/>
      <x:c r="N1047" s="5"/>
    </x:row>
    <x:row r="1048" ht="24" customHeight="1">
      <x:c r="A1048" s="1" t="inlineStr">
        <x:is>
          <x:t xml:space="preserve">RESULT</x:t>
        </x:is>
      </x:c>
      <x:c r="B1048" s="1" t="inlineStr">
        <x:is>
          <x:t xml:space="preserve">Round2</x:t>
        </x:is>
      </x:c>
      <x:c r="C1048" s="1" t="inlineStr">
        <x:is>
          <x:t xml:space="preserve">Closure_59</x:t>
        </x:is>
      </x:c>
      <x:c r="D1048" s="1" t="inlineStr">
        <x:is>
          <x:t xml:space="preserve">NOT_AVAILABLE</x:t>
        </x:is>
      </x:c>
      <x:c r="E1048" s="5"/>
      <x:c r="F1048" s="4">
        <x:v>0</x:v>
      </x:c>
      <x:c r="G1048" s="4">
        <x:v>15681</x:v>
      </x:c>
      <x:c r="H1048" s="6">
        <x:v>28.63</x:v>
      </x:c>
      <x:c r="I1048" s="16">
        <x:v>1</x:v>
      </x:c>
      <x:c r="J1048"/>
      <x:c r="K1048" s="4"/>
      <x:c r="L1048" s="4"/>
      <x:c r="M1048" s="4"/>
      <x:c r="N1048" s="5"/>
    </x:row>
    <x:row r="1049" ht="24" customHeight="1">
      <x:c r="A1049" s="1" t="inlineStr">
        <x:is>
          <x:t xml:space="preserve">RESULT</x:t>
        </x:is>
      </x:c>
      <x:c r="B1049" s="1" t="inlineStr">
        <x:is>
          <x:t xml:space="preserve">Round2</x:t>
        </x:is>
      </x:c>
      <x:c r="C1049" s="1" t="inlineStr">
        <x:is>
          <x:t xml:space="preserve">Closure_6</x:t>
        </x:is>
      </x:c>
      <x:c r="D1049" s="1" t="inlineStr">
        <x:is>
          <x:t xml:space="preserve">NOT_AVAILABLE</x:t>
        </x:is>
      </x:c>
      <x:c r="E1049" s="5"/>
      <x:c r="F1049" s="4">
        <x:v>0</x:v>
      </x:c>
      <x:c r="G1049" s="4">
        <x:v>28856</x:v>
      </x:c>
      <x:c r="H1049" s="6">
        <x:v>1121.79</x:v>
      </x:c>
      <x:c r="I1049" s="16">
        <x:v>1</x:v>
      </x:c>
      <x:c r="J1049"/>
      <x:c r="K1049" s="4"/>
      <x:c r="L1049" s="4"/>
      <x:c r="M1049" s="4"/>
      <x:c r="N1049" s="5"/>
    </x:row>
    <x:row r="1050" ht="24" customHeight="1">
      <x:c r="A1050" s="1" t="inlineStr">
        <x:is>
          <x:t xml:space="preserve">RESULT</x:t>
        </x:is>
      </x:c>
      <x:c r="B1050" s="1" t="inlineStr">
        <x:is>
          <x:t xml:space="preserve">Round2</x:t>
        </x:is>
      </x:c>
      <x:c r="C1050" s="1" t="inlineStr">
        <x:is>
          <x:t xml:space="preserve">Closure_60</x:t>
        </x:is>
      </x:c>
      <x:c r="D1050" s="1" t="inlineStr">
        <x:is>
          <x:t xml:space="preserve">NOT_AVAILABLE</x:t>
        </x:is>
      </x:c>
      <x:c r="E1050" s="5"/>
      <x:c r="F1050" s="4">
        <x:v>0</x:v>
      </x:c>
      <x:c r="G1050" s="4">
        <x:v>35837</x:v>
      </x:c>
      <x:c r="H1050" s="6">
        <x:v>143.43</x:v>
      </x:c>
      <x:c r="I1050" s="16">
        <x:v>1</x:v>
      </x:c>
      <x:c r="J1050"/>
      <x:c r="K1050" s="4"/>
      <x:c r="L1050" s="4"/>
      <x:c r="M1050" s="4"/>
      <x:c r="N1050" s="5"/>
    </x:row>
    <x:row r="1051" ht="24" customHeight="1">
      <x:c r="A1051" s="1" t="inlineStr">
        <x:is>
          <x:t xml:space="preserve">RESULT</x:t>
        </x:is>
      </x:c>
      <x:c r="B1051" s="1" t="inlineStr">
        <x:is>
          <x:t xml:space="preserve">Round2</x:t>
        </x:is>
      </x:c>
      <x:c r="C1051" s="1" t="inlineStr">
        <x:is>
          <x:t xml:space="preserve">Closure_61</x:t>
        </x:is>
      </x:c>
      <x:c r="D1051" s="1" t="inlineStr">
        <x:is>
          <x:t xml:space="preserve">NOT_AVAILABLE</x:t>
        </x:is>
      </x:c>
      <x:c r="E1051" s="5"/>
      <x:c r="F1051" s="4">
        <x:v>0</x:v>
      </x:c>
      <x:c r="G1051" s="4">
        <x:v>35432</x:v>
      </x:c>
      <x:c r="H1051" s="6">
        <x:v>200.25</x:v>
      </x:c>
      <x:c r="I1051" s="16">
        <x:v>1</x:v>
      </x:c>
      <x:c r="J1051"/>
      <x:c r="K1051" s="4"/>
      <x:c r="L1051" s="4"/>
      <x:c r="M1051" s="4"/>
      <x:c r="N1051" s="5"/>
    </x:row>
    <x:row r="1052" ht="24" customHeight="1">
      <x:c r="A1052" s="1" t="inlineStr">
        <x:is>
          <x:t xml:space="preserve">RESULT</x:t>
        </x:is>
      </x:c>
      <x:c r="B1052" s="1" t="inlineStr">
        <x:is>
          <x:t xml:space="preserve">Round2</x:t>
        </x:is>
      </x:c>
      <x:c r="C1052" s="1" t="inlineStr">
        <x:is>
          <x:t xml:space="preserve">Closure_62</x:t>
        </x:is>
      </x:c>
      <x:c r="D1052" s="1" t="inlineStr">
        <x:is>
          <x:t xml:space="preserve">NOT_AVAILABLE</x:t>
        </x:is>
      </x:c>
      <x:c r="E1052" s="5"/>
      <x:c r="F1052" s="4">
        <x:v>0</x:v>
      </x:c>
      <x:c r="G1052" s="4">
        <x:v>5185</x:v>
      </x:c>
      <x:c r="H1052" s="6">
        <x:v>29.35</x:v>
      </x:c>
      <x:c r="I1052" s="16">
        <x:v>1</x:v>
      </x:c>
      <x:c r="J1052"/>
      <x:c r="K1052" s="4"/>
      <x:c r="L1052" s="4"/>
      <x:c r="M1052" s="4"/>
      <x:c r="N1052" s="5"/>
    </x:row>
    <x:row r="1053" ht="24" customHeight="1">
      <x:c r="A1053" s="1" t="inlineStr">
        <x:is>
          <x:t xml:space="preserve">RESULT</x:t>
        </x:is>
      </x:c>
      <x:c r="B1053" s="1" t="inlineStr">
        <x:is>
          <x:t xml:space="preserve">Round2</x:t>
        </x:is>
      </x:c>
      <x:c r="C1053" s="1" t="inlineStr">
        <x:is>
          <x:t xml:space="preserve">Closure_64</x:t>
        </x:is>
      </x:c>
      <x:c r="D1053" s="1" t="inlineStr">
        <x:is>
          <x:t xml:space="preserve">NOT_AVAILABLE</x:t>
        </x:is>
      </x:c>
      <x:c r="E1053" s="5"/>
      <x:c r="F1053" s="4">
        <x:v>0</x:v>
      </x:c>
      <x:c r="G1053" s="4">
        <x:v>16849</x:v>
      </x:c>
      <x:c r="H1053" s="6">
        <x:v>42.63</x:v>
      </x:c>
      <x:c r="I1053" s="16">
        <x:v>1</x:v>
      </x:c>
      <x:c r="J1053"/>
      <x:c r="K1053" s="4"/>
      <x:c r="L1053" s="4"/>
      <x:c r="M1053" s="4"/>
      <x:c r="N1053" s="5"/>
    </x:row>
    <x:row r="1054" ht="24" customHeight="1">
      <x:c r="A1054" s="1" t="inlineStr">
        <x:is>
          <x:t xml:space="preserve">RESULT</x:t>
        </x:is>
      </x:c>
      <x:c r="B1054" s="1" t="inlineStr">
        <x:is>
          <x:t xml:space="preserve">Round2</x:t>
        </x:is>
      </x:c>
      <x:c r="C1054" s="1" t="inlineStr">
        <x:is>
          <x:t xml:space="preserve">Closure_65</x:t>
        </x:is>
      </x:c>
      <x:c r="D1054" s="1" t="inlineStr">
        <x:is>
          <x:t xml:space="preserve">NOT_AVAILABLE</x:t>
        </x:is>
      </x:c>
      <x:c r="E1054" s="5"/>
      <x:c r="F1054" s="4">
        <x:v>0</x:v>
      </x:c>
      <x:c r="G1054" s="4">
        <x:v>12777</x:v>
      </x:c>
      <x:c r="H1054" s="6">
        <x:v>35.42</x:v>
      </x:c>
      <x:c r="I1054" s="16">
        <x:v>1</x:v>
      </x:c>
      <x:c r="J1054"/>
      <x:c r="K1054" s="4"/>
      <x:c r="L1054" s="4"/>
      <x:c r="M1054" s="4"/>
      <x:c r="N1054" s="5"/>
    </x:row>
    <x:row r="1055" ht="24" customHeight="1">
      <x:c r="A1055" s="1" t="inlineStr">
        <x:is>
          <x:t xml:space="preserve">RESULT</x:t>
        </x:is>
      </x:c>
      <x:c r="B1055" s="1" t="inlineStr">
        <x:is>
          <x:t xml:space="preserve">Round2</x:t>
        </x:is>
      </x:c>
      <x:c r="C1055" s="1" t="inlineStr">
        <x:is>
          <x:t xml:space="preserve">Closure_66</x:t>
        </x:is>
      </x:c>
      <x:c r="D1055" s="1" t="inlineStr">
        <x:is>
          <x:t xml:space="preserve">NOT_AVAILABLE</x:t>
        </x:is>
      </x:c>
      <x:c r="E1055" s="5"/>
      <x:c r="F1055" s="4">
        <x:v>0</x:v>
      </x:c>
      <x:c r="G1055" s="4">
        <x:v>19998</x:v>
      </x:c>
      <x:c r="H1055" s="6">
        <x:v>59.08</x:v>
      </x:c>
      <x:c r="I1055" s="16">
        <x:v>1</x:v>
      </x:c>
      <x:c r="J1055"/>
      <x:c r="K1055" s="4"/>
      <x:c r="L1055" s="4"/>
      <x:c r="M1055" s="4"/>
      <x:c r="N1055" s="5"/>
    </x:row>
    <x:row r="1056" ht="24" customHeight="1">
      <x:c r="A1056" s="1" t="inlineStr">
        <x:is>
          <x:t xml:space="preserve">RESULT</x:t>
        </x:is>
      </x:c>
      <x:c r="B1056" s="1" t="inlineStr">
        <x:is>
          <x:t xml:space="preserve">Round2</x:t>
        </x:is>
      </x:c>
      <x:c r="C1056" s="1" t="inlineStr">
        <x:is>
          <x:t xml:space="preserve">Closure_67</x:t>
        </x:is>
      </x:c>
      <x:c r="D1056" s="1" t="inlineStr">
        <x:is>
          <x:t xml:space="preserve">NOT_AVAILABLE</x:t>
        </x:is>
      </x:c>
      <x:c r="E1056" s="5"/>
      <x:c r="F1056" s="4">
        <x:v>0</x:v>
      </x:c>
      <x:c r="G1056" s="4">
        <x:v>8410</x:v>
      </x:c>
      <x:c r="H1056" s="6">
        <x:v>17.5</x:v>
      </x:c>
      <x:c r="I1056" s="16">
        <x:v>1</x:v>
      </x:c>
      <x:c r="J1056"/>
      <x:c r="K1056" s="4"/>
      <x:c r="L1056" s="4"/>
      <x:c r="M1056" s="4"/>
      <x:c r="N1056" s="5"/>
    </x:row>
    <x:row r="1057" ht="24" customHeight="1">
      <x:c r="A1057" s="1" t="inlineStr">
        <x:is>
          <x:t xml:space="preserve">RESULT</x:t>
        </x:is>
      </x:c>
      <x:c r="B1057" s="1" t="inlineStr">
        <x:is>
          <x:t xml:space="preserve">Round2</x:t>
        </x:is>
      </x:c>
      <x:c r="C1057" s="1" t="inlineStr">
        <x:is>
          <x:t xml:space="preserve">Closure_68</x:t>
        </x:is>
      </x:c>
      <x:c r="D1057" s="1" t="inlineStr">
        <x:is>
          <x:t xml:space="preserve">NOT_AVAILABLE</x:t>
        </x:is>
      </x:c>
      <x:c r="E1057" s="5"/>
      <x:c r="F1057" s="4">
        <x:v>0</x:v>
      </x:c>
      <x:c r="G1057" s="4">
        <x:v>23236</x:v>
      </x:c>
      <x:c r="H1057" s="6">
        <x:v>100.83</x:v>
      </x:c>
      <x:c r="I1057" s="16">
        <x:v>1</x:v>
      </x:c>
      <x:c r="J1057"/>
      <x:c r="K1057" s="4"/>
      <x:c r="L1057" s="4"/>
      <x:c r="M1057" s="4"/>
      <x:c r="N1057" s="5"/>
    </x:row>
    <x:row r="1058" ht="24" customHeight="1">
      <x:c r="A1058" s="1" t="inlineStr">
        <x:is>
          <x:t xml:space="preserve">RESULT</x:t>
        </x:is>
      </x:c>
      <x:c r="B1058" s="1" t="inlineStr">
        <x:is>
          <x:t xml:space="preserve">Round2</x:t>
        </x:is>
      </x:c>
      <x:c r="C1058" s="1" t="inlineStr">
        <x:is>
          <x:t xml:space="preserve">Closure_69</x:t>
        </x:is>
      </x:c>
      <x:c r="D1058" s="1" t="inlineStr">
        <x:is>
          <x:t xml:space="preserve">NOT_AVAILABLE</x:t>
        </x:is>
      </x:c>
      <x:c r="E1058" s="5"/>
      <x:c r="F1058" s="4">
        <x:v>0</x:v>
      </x:c>
      <x:c r="G1058" s="4">
        <x:v>17030</x:v>
      </x:c>
      <x:c r="H1058" s="6">
        <x:v>28.73</x:v>
      </x:c>
      <x:c r="I1058" s="16">
        <x:v>1</x:v>
      </x:c>
      <x:c r="J1058"/>
      <x:c r="K1058" s="4"/>
      <x:c r="L1058" s="4"/>
      <x:c r="M1058" s="4"/>
      <x:c r="N1058" s="5"/>
    </x:row>
    <x:row r="1059" ht="24" customHeight="1">
      <x:c r="A1059" s="1" t="inlineStr">
        <x:is>
          <x:t xml:space="preserve">RESULT</x:t>
        </x:is>
      </x:c>
      <x:c r="B1059" s="1" t="inlineStr">
        <x:is>
          <x:t xml:space="preserve">Round2</x:t>
        </x:is>
      </x:c>
      <x:c r="C1059" s="1" t="inlineStr">
        <x:is>
          <x:t xml:space="preserve">Closure_7</x:t>
        </x:is>
      </x:c>
      <x:c r="D1059" s="1" t="inlineStr">
        <x:is>
          <x:t xml:space="preserve">NOT_AVAILABLE</x:t>
        </x:is>
      </x:c>
      <x:c r="E1059" s="5"/>
      <x:c r="F1059" s="4">
        <x:v>0</x:v>
      </x:c>
      <x:c r="G1059" s="4">
        <x:v>11888</x:v>
      </x:c>
      <x:c r="H1059" s="6">
        <x:v>38.87</x:v>
      </x:c>
      <x:c r="I1059" s="16">
        <x:v>1</x:v>
      </x:c>
      <x:c r="J1059"/>
      <x:c r="K1059" s="4"/>
      <x:c r="L1059" s="4"/>
      <x:c r="M1059" s="4"/>
      <x:c r="N1059" s="5"/>
    </x:row>
    <x:row r="1060" ht="24" customHeight="1">
      <x:c r="A1060" s="1" t="inlineStr">
        <x:is>
          <x:t xml:space="preserve">RESULT</x:t>
        </x:is>
      </x:c>
      <x:c r="B1060" s="1" t="inlineStr">
        <x:is>
          <x:t xml:space="preserve">Round2</x:t>
        </x:is>
      </x:c>
      <x:c r="C1060" s="1" t="inlineStr">
        <x:is>
          <x:t xml:space="preserve">Closure_70</x:t>
        </x:is>
      </x:c>
      <x:c r="D1060" s="1" t="inlineStr">
        <x:is>
          <x:t xml:space="preserve">NOT_AVAILABLE</x:t>
        </x:is>
      </x:c>
      <x:c r="E1060" s="5"/>
      <x:c r="F1060" s="4">
        <x:v>0</x:v>
      </x:c>
      <x:c r="G1060" s="4">
        <x:v>16946</x:v>
      </x:c>
      <x:c r="H1060" s="6">
        <x:v>26.08</x:v>
      </x:c>
      <x:c r="I1060" s="16">
        <x:v>1</x:v>
      </x:c>
      <x:c r="J1060"/>
      <x:c r="K1060" s="4"/>
      <x:c r="L1060" s="4"/>
      <x:c r="M1060" s="4"/>
      <x:c r="N1060" s="5"/>
    </x:row>
    <x:row r="1061" ht="24" customHeight="1">
      <x:c r="A1061" s="1" t="inlineStr">
        <x:is>
          <x:t xml:space="preserve">RESULT</x:t>
        </x:is>
      </x:c>
      <x:c r="B1061" s="1" t="inlineStr">
        <x:is>
          <x:t xml:space="preserve">Round2</x:t>
        </x:is>
      </x:c>
      <x:c r="C1061" s="1" t="inlineStr">
        <x:is>
          <x:t xml:space="preserve">Closure_71</x:t>
        </x:is>
      </x:c>
      <x:c r="D1061" s="1" t="inlineStr">
        <x:is>
          <x:t xml:space="preserve">NOT_AVAILABLE</x:t>
        </x:is>
      </x:c>
      <x:c r="E1061" s="5"/>
      <x:c r="F1061" s="4">
        <x:v>0</x:v>
      </x:c>
      <x:c r="G1061" s="4">
        <x:v>10739</x:v>
      </x:c>
      <x:c r="H1061" s="6">
        <x:v>43.29</x:v>
      </x:c>
      <x:c r="I1061" s="16">
        <x:v>1</x:v>
      </x:c>
      <x:c r="J1061"/>
      <x:c r="K1061" s="4"/>
      <x:c r="L1061" s="4"/>
      <x:c r="M1061" s="4"/>
      <x:c r="N1061" s="5"/>
    </x:row>
    <x:row r="1062" ht="24" customHeight="1">
      <x:c r="A1062" s="1" t="inlineStr">
        <x:is>
          <x:t xml:space="preserve">RESULT</x:t>
        </x:is>
      </x:c>
      <x:c r="B1062" s="1" t="inlineStr">
        <x:is>
          <x:t xml:space="preserve">Round2</x:t>
        </x:is>
      </x:c>
      <x:c r="C1062" s="1" t="inlineStr">
        <x:is>
          <x:t xml:space="preserve">Closure_72</x:t>
        </x:is>
      </x:c>
      <x:c r="D1062" s="1" t="inlineStr">
        <x:is>
          <x:t xml:space="preserve">NOT_AVAILABLE</x:t>
        </x:is>
      </x:c>
      <x:c r="E1062" s="5"/>
      <x:c r="F1062" s="4">
        <x:v>0</x:v>
      </x:c>
      <x:c r="G1062" s="4">
        <x:v>12859</x:v>
      </x:c>
      <x:c r="H1062" s="6">
        <x:v>41.67</x:v>
      </x:c>
      <x:c r="I1062" s="16">
        <x:v>1</x:v>
      </x:c>
      <x:c r="J1062"/>
      <x:c r="K1062" s="4"/>
      <x:c r="L1062" s="4"/>
      <x:c r="M1062" s="4"/>
      <x:c r="N1062" s="5"/>
    </x:row>
    <x:row r="1063" ht="24" customHeight="1">
      <x:c r="A1063" s="1" t="inlineStr">
        <x:is>
          <x:t xml:space="preserve">RESULT</x:t>
        </x:is>
      </x:c>
      <x:c r="B1063" s="1" t="inlineStr">
        <x:is>
          <x:t xml:space="preserve">Round2</x:t>
        </x:is>
      </x:c>
      <x:c r="C1063" s="1" t="inlineStr">
        <x:is>
          <x:t xml:space="preserve">Closure_73</x:t>
        </x:is>
      </x:c>
      <x:c r="D1063" s="1" t="inlineStr">
        <x:is>
          <x:t xml:space="preserve">NOT_AVAILABLE</x:t>
        </x:is>
      </x:c>
      <x:c r="E1063" s="5"/>
      <x:c r="F1063" s="4">
        <x:v>0</x:v>
      </x:c>
      <x:c r="G1063" s="4">
        <x:v>13461</x:v>
      </x:c>
      <x:c r="H1063" s="6">
        <x:v>44.68</x:v>
      </x:c>
      <x:c r="I1063" s="16">
        <x:v>1</x:v>
      </x:c>
      <x:c r="J1063"/>
      <x:c r="K1063" s="4"/>
      <x:c r="L1063" s="4"/>
      <x:c r="M1063" s="4"/>
      <x:c r="N1063" s="5"/>
    </x:row>
    <x:row r="1064" ht="24" customHeight="1">
      <x:c r="A1064" s="1" t="inlineStr">
        <x:is>
          <x:t xml:space="preserve">RESULT</x:t>
        </x:is>
      </x:c>
      <x:c r="B1064" s="1" t="inlineStr">
        <x:is>
          <x:t xml:space="preserve">Round2</x:t>
        </x:is>
      </x:c>
      <x:c r="C1064" s="1" t="inlineStr">
        <x:is>
          <x:t xml:space="preserve">Closure_74</x:t>
        </x:is>
      </x:c>
      <x:c r="D1064" s="1" t="inlineStr">
        <x:is>
          <x:t xml:space="preserve">INCONCLUSIVE</x:t>
        </x:is>
      </x:c>
      <x:c r="E1064" s="5">
        <x:v>0.5575</x:v>
      </x:c>
      <x:c r="F1064" s="4">
        <x:v>0</x:v>
      </x:c>
      <x:c r="G1064" s="4">
        <x:v>20375</x:v>
      </x:c>
      <x:c r="H1064" s="6">
        <x:v>82.0</x:v>
      </x:c>
      <x:c r="I1064" s="16">
        <x:v>1</x:v>
      </x:c>
      <x:c r="J1064">
        <x:v>800</x:v>
      </x:c>
      <x:c r="K1064" s="4">
        <x:v>446</x:v>
      </x:c>
      <x:c r="L1064" s="4">
        <x:v>619</x:v>
      </x:c>
      <x:c r="M1064" s="4">
        <x:v>269</x:v>
      </x:c>
      <x:c r="N1064" s="5">
        <x:v>0.4346</x:v>
      </x:c>
    </x:row>
    <x:row r="1065" ht="24" customHeight="1">
      <x:c r="A1065" s="1" t="inlineStr">
        <x:is>
          <x:t xml:space="preserve">RESULT</x:t>
        </x:is>
      </x:c>
      <x:c r="B1065" s="1" t="inlineStr">
        <x:is>
          <x:t xml:space="preserve">Round2</x:t>
        </x:is>
      </x:c>
      <x:c r="C1065" s="1" t="inlineStr">
        <x:is>
          <x:t xml:space="preserve">Closure_75</x:t>
        </x:is>
      </x:c>
      <x:c r="D1065" s="1" t="inlineStr">
        <x:is>
          <x:t xml:space="preserve">NOT_AVAILABLE</x:t>
        </x:is>
      </x:c>
      <x:c r="E1065" s="5"/>
      <x:c r="F1065" s="4">
        <x:v>0</x:v>
      </x:c>
      <x:c r="G1065" s="4">
        <x:v>36715</x:v>
      </x:c>
      <x:c r="H1065" s="6">
        <x:v>171.11</x:v>
      </x:c>
      <x:c r="I1065" s="16">
        <x:v>1</x:v>
      </x:c>
      <x:c r="J1065"/>
      <x:c r="K1065" s="4"/>
      <x:c r="L1065" s="4"/>
      <x:c r="M1065" s="4"/>
      <x:c r="N1065" s="5"/>
    </x:row>
    <x:row r="1066" ht="24" customHeight="1">
      <x:c r="A1066" s="1" t="inlineStr">
        <x:is>
          <x:t xml:space="preserve">RESULT</x:t>
        </x:is>
      </x:c>
      <x:c r="B1066" s="1" t="inlineStr">
        <x:is>
          <x:t xml:space="preserve">Round2</x:t>
        </x:is>
      </x:c>
      <x:c r="C1066" s="1" t="inlineStr">
        <x:is>
          <x:t xml:space="preserve">Closure_76</x:t>
        </x:is>
      </x:c>
      <x:c r="D1066" s="1" t="inlineStr">
        <x:is>
          <x:t xml:space="preserve">NOT_AVAILABLE</x:t>
        </x:is>
      </x:c>
      <x:c r="E1066" s="5"/>
      <x:c r="F1066" s="4">
        <x:v>0</x:v>
      </x:c>
      <x:c r="G1066" s="4">
        <x:v>6221</x:v>
      </x:c>
      <x:c r="H1066" s="6">
        <x:v>13.41</x:v>
      </x:c>
      <x:c r="I1066" s="16">
        <x:v>1</x:v>
      </x:c>
      <x:c r="J1066"/>
      <x:c r="K1066" s="4"/>
      <x:c r="L1066" s="4"/>
      <x:c r="M1066" s="4"/>
      <x:c r="N1066" s="5"/>
    </x:row>
    <x:row r="1067" ht="24" customHeight="1">
      <x:c r="A1067" s="1" t="inlineStr">
        <x:is>
          <x:t xml:space="preserve">RESULT</x:t>
        </x:is>
      </x:c>
      <x:c r="B1067" s="1" t="inlineStr">
        <x:is>
          <x:t xml:space="preserve">Round2</x:t>
        </x:is>
      </x:c>
      <x:c r="C1067" s="1" t="inlineStr">
        <x:is>
          <x:t xml:space="preserve">Closure_77</x:t>
        </x:is>
      </x:c>
      <x:c r="D1067" s="1" t="inlineStr">
        <x:is>
          <x:t xml:space="preserve">NOT_AVAILABLE</x:t>
        </x:is>
      </x:c>
      <x:c r="E1067" s="5"/>
      <x:c r="F1067" s="4">
        <x:v>0</x:v>
      </x:c>
      <x:c r="G1067" s="4">
        <x:v>16342</x:v>
      </x:c>
      <x:c r="H1067" s="6">
        <x:v>86.02</x:v>
      </x:c>
      <x:c r="I1067" s="16">
        <x:v>1</x:v>
      </x:c>
      <x:c r="J1067"/>
      <x:c r="K1067" s="4"/>
      <x:c r="L1067" s="4"/>
      <x:c r="M1067" s="4"/>
      <x:c r="N1067" s="5"/>
    </x:row>
    <x:row r="1068" ht="24" customHeight="1">
      <x:c r="A1068" s="1" t="inlineStr">
        <x:is>
          <x:t xml:space="preserve">RESULT</x:t>
        </x:is>
      </x:c>
      <x:c r="B1068" s="1" t="inlineStr">
        <x:is>
          <x:t xml:space="preserve">Round2</x:t>
        </x:is>
      </x:c>
      <x:c r="C1068" s="1" t="inlineStr">
        <x:is>
          <x:t xml:space="preserve">Closure_78</x:t>
        </x:is>
      </x:c>
      <x:c r="D1068" s="1" t="inlineStr">
        <x:is>
          <x:t xml:space="preserve">NOT_AVAILABLE</x:t>
        </x:is>
      </x:c>
      <x:c r="E1068" s="5"/>
      <x:c r="F1068" s="4">
        <x:v>0</x:v>
      </x:c>
      <x:c r="G1068" s="4">
        <x:v>14912</x:v>
      </x:c>
      <x:c r="H1068" s="6">
        <x:v>35.43</x:v>
      </x:c>
      <x:c r="I1068" s="16">
        <x:v>1</x:v>
      </x:c>
      <x:c r="J1068"/>
      <x:c r="K1068" s="4"/>
      <x:c r="L1068" s="4"/>
      <x:c r="M1068" s="4"/>
      <x:c r="N1068" s="5"/>
    </x:row>
    <x:row r="1069" ht="24" customHeight="1">
      <x:c r="A1069" s="1" t="inlineStr">
        <x:is>
          <x:t xml:space="preserve">RESULT</x:t>
        </x:is>
      </x:c>
      <x:c r="B1069" s="1" t="inlineStr">
        <x:is>
          <x:t xml:space="preserve">Round2</x:t>
        </x:is>
      </x:c>
      <x:c r="C1069" s="1" t="inlineStr">
        <x:is>
          <x:t xml:space="preserve">Closure_79</x:t>
        </x:is>
      </x:c>
      <x:c r="D1069" s="1" t="inlineStr">
        <x:is>
          <x:t xml:space="preserve">NOT_AVAILABLE</x:t>
        </x:is>
      </x:c>
      <x:c r="E1069" s="5"/>
      <x:c r="F1069" s="4">
        <x:v>0</x:v>
      </x:c>
      <x:c r="G1069" s="4">
        <x:v>14674</x:v>
      </x:c>
      <x:c r="H1069" s="6">
        <x:v>52.56</x:v>
      </x:c>
      <x:c r="I1069" s="16">
        <x:v>1</x:v>
      </x:c>
      <x:c r="J1069"/>
      <x:c r="K1069" s="4"/>
      <x:c r="L1069" s="4"/>
      <x:c r="M1069" s="4"/>
      <x:c r="N1069" s="5"/>
    </x:row>
    <x:row r="1070" ht="24" customHeight="1">
      <x:c r="A1070" s="1" t="inlineStr">
        <x:is>
          <x:t xml:space="preserve">RESULT</x:t>
        </x:is>
      </x:c>
      <x:c r="B1070" s="1" t="inlineStr">
        <x:is>
          <x:t xml:space="preserve">Round2</x:t>
        </x:is>
      </x:c>
      <x:c r="C1070" s="1" t="inlineStr">
        <x:is>
          <x:t xml:space="preserve">Closure_8</x:t>
        </x:is>
      </x:c>
      <x:c r="D1070" s="1" t="inlineStr">
        <x:is>
          <x:t xml:space="preserve">NOT_AVAILABLE</x:t>
        </x:is>
      </x:c>
      <x:c r="E1070" s="5"/>
      <x:c r="F1070" s="4">
        <x:v>0</x:v>
      </x:c>
      <x:c r="G1070" s="4">
        <x:v>4604</x:v>
      </x:c>
      <x:c r="H1070" s="6">
        <x:v>16.48</x:v>
      </x:c>
      <x:c r="I1070" s="16">
        <x:v>1</x:v>
      </x:c>
      <x:c r="J1070"/>
      <x:c r="K1070" s="4"/>
      <x:c r="L1070" s="4"/>
      <x:c r="M1070" s="4"/>
      <x:c r="N1070" s="5"/>
    </x:row>
    <x:row r="1071" ht="24" customHeight="1">
      <x:c r="A1071" s="1" t="inlineStr">
        <x:is>
          <x:t xml:space="preserve">RESULT</x:t>
        </x:is>
      </x:c>
      <x:c r="B1071" s="1" t="inlineStr">
        <x:is>
          <x:t xml:space="preserve">Round2</x:t>
        </x:is>
      </x:c>
      <x:c r="C1071" s="1" t="inlineStr">
        <x:is>
          <x:t xml:space="preserve">Closure_80</x:t>
        </x:is>
      </x:c>
      <x:c r="D1071" s="1" t="inlineStr">
        <x:is>
          <x:t xml:space="preserve">NOT_AVAILABLE</x:t>
        </x:is>
      </x:c>
      <x:c r="E1071" s="5"/>
      <x:c r="F1071" s="4">
        <x:v>0</x:v>
      </x:c>
      <x:c r="G1071" s="4">
        <x:v>35484</x:v>
      </x:c>
      <x:c r="H1071" s="6">
        <x:v>180.29</x:v>
      </x:c>
      <x:c r="I1071" s="16">
        <x:v>1</x:v>
      </x:c>
      <x:c r="J1071"/>
      <x:c r="K1071" s="4"/>
      <x:c r="L1071" s="4"/>
      <x:c r="M1071" s="4"/>
      <x:c r="N1071" s="5"/>
    </x:row>
    <x:row r="1072" ht="24" customHeight="1">
      <x:c r="A1072" s="1" t="inlineStr">
        <x:is>
          <x:t xml:space="preserve">RESULT</x:t>
        </x:is>
      </x:c>
      <x:c r="B1072" s="1" t="inlineStr">
        <x:is>
          <x:t xml:space="preserve">Round2</x:t>
        </x:is>
      </x:c>
      <x:c r="C1072" s="1" t="inlineStr">
        <x:is>
          <x:t xml:space="preserve">Closure_81</x:t>
        </x:is>
      </x:c>
      <x:c r="D1072" s="1" t="inlineStr">
        <x:is>
          <x:t xml:space="preserve">NOT_AVAILABLE</x:t>
        </x:is>
      </x:c>
      <x:c r="E1072" s="5"/>
      <x:c r="F1072" s="4">
        <x:v>0</x:v>
      </x:c>
      <x:c r="G1072" s="4">
        <x:v>22007</x:v>
      </x:c>
      <x:c r="H1072" s="6">
        <x:v>73.35</x:v>
      </x:c>
      <x:c r="I1072" s="16">
        <x:v>1</x:v>
      </x:c>
      <x:c r="J1072"/>
      <x:c r="K1072" s="4"/>
      <x:c r="L1072" s="4"/>
      <x:c r="M1072" s="4"/>
      <x:c r="N1072" s="5"/>
    </x:row>
    <x:row r="1073" ht="24" customHeight="1">
      <x:c r="A1073" s="1" t="inlineStr">
        <x:is>
          <x:t xml:space="preserve">RESULT</x:t>
        </x:is>
      </x:c>
      <x:c r="B1073" s="1" t="inlineStr">
        <x:is>
          <x:t xml:space="preserve">Round2</x:t>
        </x:is>
      </x:c>
      <x:c r="C1073" s="1" t="inlineStr">
        <x:is>
          <x:t xml:space="preserve">Closure_82</x:t>
        </x:is>
      </x:c>
      <x:c r="D1073" s="1" t="inlineStr">
        <x:is>
          <x:t xml:space="preserve">NOT_AVAILABLE</x:t>
        </x:is>
      </x:c>
      <x:c r="E1073" s="5"/>
      <x:c r="F1073" s="4">
        <x:v>0</x:v>
      </x:c>
      <x:c r="G1073" s="4">
        <x:v>10495</x:v>
      </x:c>
      <x:c r="H1073" s="6">
        <x:v>56.2</x:v>
      </x:c>
      <x:c r="I1073" s="16">
        <x:v>1</x:v>
      </x:c>
      <x:c r="J1073"/>
      <x:c r="K1073" s="4"/>
      <x:c r="L1073" s="4"/>
      <x:c r="M1073" s="4"/>
      <x:c r="N1073" s="5"/>
    </x:row>
    <x:row r="1074" ht="24" customHeight="1">
      <x:c r="A1074" s="1" t="inlineStr">
        <x:is>
          <x:t xml:space="preserve">RESULT</x:t>
        </x:is>
      </x:c>
      <x:c r="B1074" s="1" t="inlineStr">
        <x:is>
          <x:t xml:space="preserve">Round2</x:t>
        </x:is>
      </x:c>
      <x:c r="C1074" s="1" t="inlineStr">
        <x:is>
          <x:t xml:space="preserve">Closure_83</x:t>
        </x:is>
      </x:c>
      <x:c r="D1074" s="1" t="inlineStr">
        <x:is>
          <x:t xml:space="preserve">INCONCLUSIVE</x:t>
        </x:is>
      </x:c>
      <x:c r="E1074" s="5">
        <x:v>0.7772</x:v>
      </x:c>
      <x:c r="F1074" s="4">
        <x:v>0</x:v>
      </x:c>
      <x:c r="G1074" s="4">
        <x:v>9223</x:v>
      </x:c>
      <x:c r="H1074" s="6">
        <x:v>17.52</x:v>
      </x:c>
      <x:c r="I1074" s="16">
        <x:v>1</x:v>
      </x:c>
      <x:c r="J1074">
        <x:v>193</x:v>
      </x:c>
      <x:c r="K1074" s="4">
        <x:v>150</x:v>
      </x:c>
      <x:c r="L1074" s="4">
        <x:v>36</x:v>
      </x:c>
      <x:c r="M1074" s="4">
        <x:v>19</x:v>
      </x:c>
      <x:c r="N1074" s="5">
        <x:v>0.5278</x:v>
      </x:c>
    </x:row>
    <x:row r="1075" ht="24" customHeight="1">
      <x:c r="A1075" s="1" t="inlineStr">
        <x:is>
          <x:t xml:space="preserve">RESULT</x:t>
        </x:is>
      </x:c>
      <x:c r="B1075" s="1" t="inlineStr">
        <x:is>
          <x:t xml:space="preserve">Round2</x:t>
        </x:is>
      </x:c>
      <x:c r="C1075" s="1" t="inlineStr">
        <x:is>
          <x:t xml:space="preserve">Closure_84</x:t>
        </x:is>
      </x:c>
      <x:c r="D1075" s="1" t="inlineStr">
        <x:is>
          <x:t xml:space="preserve">NOT_AVAILABLE</x:t>
        </x:is>
      </x:c>
      <x:c r="E1075" s="5"/>
      <x:c r="F1075" s="4">
        <x:v>0</x:v>
      </x:c>
      <x:c r="G1075" s="4">
        <x:v>19385</x:v>
      </x:c>
      <x:c r="H1075" s="6">
        <x:v>54.02</x:v>
      </x:c>
      <x:c r="I1075" s="16">
        <x:v>1</x:v>
      </x:c>
      <x:c r="J1075"/>
      <x:c r="K1075" s="4"/>
      <x:c r="L1075" s="4"/>
      <x:c r="M1075" s="4"/>
      <x:c r="N1075" s="5"/>
    </x:row>
    <x:row r="1076" ht="24" customHeight="1">
      <x:c r="A1076" s="1" t="inlineStr">
        <x:is>
          <x:t xml:space="preserve">RESULT</x:t>
        </x:is>
      </x:c>
      <x:c r="B1076" s="1" t="inlineStr">
        <x:is>
          <x:t xml:space="preserve">Round2</x:t>
        </x:is>
      </x:c>
      <x:c r="C1076" s="1" t="inlineStr">
        <x:is>
          <x:t xml:space="preserve">Closure_85</x:t>
        </x:is>
      </x:c>
      <x:c r="D1076" s="1" t="inlineStr">
        <x:is>
          <x:t xml:space="preserve">NOT_AVAILABLE</x:t>
        </x:is>
      </x:c>
      <x:c r="E1076" s="5"/>
      <x:c r="F1076" s="4">
        <x:v>0</x:v>
      </x:c>
      <x:c r="G1076" s="4">
        <x:v>5699</x:v>
      </x:c>
      <x:c r="H1076" s="6">
        <x:v>52.75</x:v>
      </x:c>
      <x:c r="I1076" s="16">
        <x:v>1</x:v>
      </x:c>
      <x:c r="J1076"/>
      <x:c r="K1076" s="4"/>
      <x:c r="L1076" s="4"/>
      <x:c r="M1076" s="4"/>
      <x:c r="N1076" s="5"/>
    </x:row>
    <x:row r="1077" ht="24" customHeight="1">
      <x:c r="A1077" s="1" t="inlineStr">
        <x:is>
          <x:t xml:space="preserve">RESULT</x:t>
        </x:is>
      </x:c>
      <x:c r="B1077" s="1" t="inlineStr">
        <x:is>
          <x:t xml:space="preserve">Round2</x:t>
        </x:is>
      </x:c>
      <x:c r="C1077" s="1" t="inlineStr">
        <x:is>
          <x:t xml:space="preserve">Closure_86</x:t>
        </x:is>
      </x:c>
      <x:c r="D1077" s="1" t="inlineStr">
        <x:is>
          <x:t xml:space="preserve">NOT_AVAILABLE</x:t>
        </x:is>
      </x:c>
      <x:c r="E1077" s="5"/>
      <x:c r="F1077" s="4">
        <x:v>0</x:v>
      </x:c>
      <x:c r="G1077" s="4">
        <x:v>26853</x:v>
      </x:c>
      <x:c r="H1077" s="6">
        <x:v>86.65</x:v>
      </x:c>
      <x:c r="I1077" s="16">
        <x:v>1</x:v>
      </x:c>
      <x:c r="J1077"/>
      <x:c r="K1077" s="4"/>
      <x:c r="L1077" s="4"/>
      <x:c r="M1077" s="4"/>
      <x:c r="N1077" s="5"/>
    </x:row>
    <x:row r="1078" ht="24" customHeight="1">
      <x:c r="A1078" s="1" t="inlineStr">
        <x:is>
          <x:t xml:space="preserve">RESULT</x:t>
        </x:is>
      </x:c>
      <x:c r="B1078" s="1" t="inlineStr">
        <x:is>
          <x:t xml:space="preserve">Round2</x:t>
        </x:is>
      </x:c>
      <x:c r="C1078" s="1" t="inlineStr">
        <x:is>
          <x:t xml:space="preserve">Closure_87</x:t>
        </x:is>
      </x:c>
      <x:c r="D1078" s="1" t="inlineStr">
        <x:is>
          <x:t xml:space="preserve">NOT_AVAILABLE</x:t>
        </x:is>
      </x:c>
      <x:c r="E1078" s="5"/>
      <x:c r="F1078" s="4">
        <x:v>0</x:v>
      </x:c>
      <x:c r="G1078" s="4">
        <x:v>11360</x:v>
      </x:c>
      <x:c r="H1078" s="6">
        <x:v>37.61</x:v>
      </x:c>
      <x:c r="I1078" s="16">
        <x:v>1</x:v>
      </x:c>
      <x:c r="J1078"/>
      <x:c r="K1078" s="4"/>
      <x:c r="L1078" s="4"/>
      <x:c r="M1078" s="4"/>
      <x:c r="N1078" s="5"/>
    </x:row>
    <x:row r="1079" ht="24" customHeight="1">
      <x:c r="A1079" s="1" t="inlineStr">
        <x:is>
          <x:t xml:space="preserve">RESULT</x:t>
        </x:is>
      </x:c>
      <x:c r="B1079" s="1" t="inlineStr">
        <x:is>
          <x:t xml:space="preserve">Round2</x:t>
        </x:is>
      </x:c>
      <x:c r="C1079" s="1" t="inlineStr">
        <x:is>
          <x:t xml:space="preserve">Closure_88</x:t>
        </x:is>
      </x:c>
      <x:c r="D1079" s="1" t="inlineStr">
        <x:is>
          <x:t xml:space="preserve">NOT_AVAILABLE</x:t>
        </x:is>
      </x:c>
      <x:c r="E1079" s="5"/>
      <x:c r="F1079" s="4">
        <x:v>0</x:v>
      </x:c>
      <x:c r="G1079" s="4">
        <x:v>7469</x:v>
      </x:c>
      <x:c r="H1079" s="6">
        <x:v>38.35</x:v>
      </x:c>
      <x:c r="I1079" s="16">
        <x:v>1</x:v>
      </x:c>
      <x:c r="J1079"/>
      <x:c r="K1079" s="4"/>
      <x:c r="L1079" s="4"/>
      <x:c r="M1079" s="4"/>
      <x:c r="N1079" s="5"/>
    </x:row>
    <x:row r="1080" ht="24" customHeight="1">
      <x:c r="A1080" s="1" t="inlineStr">
        <x:is>
          <x:t xml:space="preserve">RESULT</x:t>
        </x:is>
      </x:c>
      <x:c r="B1080" s="1" t="inlineStr">
        <x:is>
          <x:t xml:space="preserve">Round2</x:t>
        </x:is>
      </x:c>
      <x:c r="C1080" s="1" t="inlineStr">
        <x:is>
          <x:t xml:space="preserve">Closure_89</x:t>
        </x:is>
      </x:c>
      <x:c r="D1080" s="1" t="inlineStr">
        <x:is>
          <x:t xml:space="preserve">NOT_AVAILABLE</x:t>
        </x:is>
      </x:c>
      <x:c r="E1080" s="5"/>
      <x:c r="F1080" s="4">
        <x:v>0</x:v>
      </x:c>
      <x:c r="G1080" s="4">
        <x:v>18449</x:v>
      </x:c>
      <x:c r="H1080" s="6">
        <x:v>59.71</x:v>
      </x:c>
      <x:c r="I1080" s="16">
        <x:v>1</x:v>
      </x:c>
      <x:c r="J1080"/>
      <x:c r="K1080" s="4"/>
      <x:c r="L1080" s="4"/>
      <x:c r="M1080" s="4"/>
      <x:c r="N1080" s="5"/>
    </x:row>
    <x:row r="1081" ht="24" customHeight="1">
      <x:c r="A1081" s="1" t="inlineStr">
        <x:is>
          <x:t xml:space="preserve">RESULT</x:t>
        </x:is>
      </x:c>
      <x:c r="B1081" s="1" t="inlineStr">
        <x:is>
          <x:t xml:space="preserve">Round2</x:t>
        </x:is>
      </x:c>
      <x:c r="C1081" s="1" t="inlineStr">
        <x:is>
          <x:t xml:space="preserve">Closure_9</x:t>
        </x:is>
      </x:c>
      <x:c r="D1081" s="1" t="inlineStr">
        <x:is>
          <x:t xml:space="preserve">NOT_AVAILABLE</x:t>
        </x:is>
      </x:c>
      <x:c r="E1081" s="5"/>
      <x:c r="F1081" s="4">
        <x:v>0</x:v>
      </x:c>
      <x:c r="G1081" s="4">
        <x:v>5090</x:v>
      </x:c>
      <x:c r="H1081" s="6">
        <x:v>13.68</x:v>
      </x:c>
      <x:c r="I1081" s="16">
        <x:v>1</x:v>
      </x:c>
      <x:c r="J1081"/>
      <x:c r="K1081" s="4"/>
      <x:c r="L1081" s="4"/>
      <x:c r="M1081" s="4"/>
      <x:c r="N1081" s="5"/>
    </x:row>
    <x:row r="1082" ht="24" customHeight="1">
      <x:c r="A1082" s="1" t="inlineStr">
        <x:is>
          <x:t xml:space="preserve">RESULT</x:t>
        </x:is>
      </x:c>
      <x:c r="B1082" s="1" t="inlineStr">
        <x:is>
          <x:t xml:space="preserve">Round2</x:t>
        </x:is>
      </x:c>
      <x:c r="C1082" s="1" t="inlineStr">
        <x:is>
          <x:t xml:space="preserve">Closure_90</x:t>
        </x:is>
      </x:c>
      <x:c r="D1082" s="1" t="inlineStr">
        <x:is>
          <x:t xml:space="preserve">NOT_AVAILABLE</x:t>
        </x:is>
      </x:c>
      <x:c r="E1082" s="5"/>
      <x:c r="F1082" s="4">
        <x:v>0</x:v>
      </x:c>
      <x:c r="G1082" s="4">
        <x:v>18634</x:v>
      </x:c>
      <x:c r="H1082" s="6">
        <x:v>55.01</x:v>
      </x:c>
      <x:c r="I1082" s="16">
        <x:v>1</x:v>
      </x:c>
      <x:c r="J1082"/>
      <x:c r="K1082" s="4"/>
      <x:c r="L1082" s="4"/>
      <x:c r="M1082" s="4"/>
      <x:c r="N1082" s="5"/>
    </x:row>
    <x:row r="1083" ht="24" customHeight="1">
      <x:c r="A1083" s="1" t="inlineStr">
        <x:is>
          <x:t xml:space="preserve">RESULT</x:t>
        </x:is>
      </x:c>
      <x:c r="B1083" s="1" t="inlineStr">
        <x:is>
          <x:t xml:space="preserve">Round2</x:t>
        </x:is>
      </x:c>
      <x:c r="C1083" s="1" t="inlineStr">
        <x:is>
          <x:t xml:space="preserve">Closure_91</x:t>
        </x:is>
      </x:c>
      <x:c r="D1083" s="1" t="inlineStr">
        <x:is>
          <x:t xml:space="preserve">NOT_AVAILABLE</x:t>
        </x:is>
      </x:c>
      <x:c r="E1083" s="5"/>
      <x:c r="F1083" s="4">
        <x:v>0</x:v>
      </x:c>
      <x:c r="G1083" s="4">
        <x:v>4977</x:v>
      </x:c>
      <x:c r="H1083" s="6">
        <x:v>19.09</x:v>
      </x:c>
      <x:c r="I1083" s="16">
        <x:v>1</x:v>
      </x:c>
      <x:c r="J1083"/>
      <x:c r="K1083" s="4"/>
      <x:c r="L1083" s="4"/>
      <x:c r="M1083" s="4"/>
      <x:c r="N1083" s="5"/>
    </x:row>
    <x:row r="1084" ht="24" customHeight="1">
      <x:c r="A1084" s="1" t="inlineStr">
        <x:is>
          <x:t xml:space="preserve">RESULT</x:t>
        </x:is>
      </x:c>
      <x:c r="B1084" s="1" t="inlineStr">
        <x:is>
          <x:t xml:space="preserve">Round2</x:t>
        </x:is>
      </x:c>
      <x:c r="C1084" s="1" t="inlineStr">
        <x:is>
          <x:t xml:space="preserve">Closure_92</x:t>
        </x:is>
      </x:c>
      <x:c r="D1084" s="1" t="inlineStr">
        <x:is>
          <x:t xml:space="preserve">NOT_AVAILABLE</x:t>
        </x:is>
      </x:c>
      <x:c r="E1084" s="5"/>
      <x:c r="F1084" s="4">
        <x:v>0</x:v>
      </x:c>
      <x:c r="G1084" s="4">
        <x:v>10853</x:v>
      </x:c>
      <x:c r="H1084" s="6">
        <x:v>41.51</x:v>
      </x:c>
      <x:c r="I1084" s="16">
        <x:v>1</x:v>
      </x:c>
      <x:c r="J1084"/>
      <x:c r="K1084" s="4"/>
      <x:c r="L1084" s="4"/>
      <x:c r="M1084" s="4"/>
      <x:c r="N1084" s="5"/>
    </x:row>
    <x:row r="1085" ht="24" customHeight="1">
      <x:c r="A1085" s="1" t="inlineStr">
        <x:is>
          <x:t xml:space="preserve">RESULT</x:t>
        </x:is>
      </x:c>
      <x:c r="B1085" s="1" t="inlineStr">
        <x:is>
          <x:t xml:space="preserve">Round2</x:t>
        </x:is>
      </x:c>
      <x:c r="C1085" s="1" t="inlineStr">
        <x:is>
          <x:t xml:space="preserve">Closure_94</x:t>
        </x:is>
      </x:c>
      <x:c r="D1085" s="1" t="inlineStr">
        <x:is>
          <x:t xml:space="preserve">NOT_AVAILABLE</x:t>
        </x:is>
      </x:c>
      <x:c r="E1085" s="5"/>
      <x:c r="F1085" s="4">
        <x:v>0</x:v>
      </x:c>
      <x:c r="G1085" s="4">
        <x:v>18841</x:v>
      </x:c>
      <x:c r="H1085" s="6">
        <x:v>49.44</x:v>
      </x:c>
      <x:c r="I1085" s="16">
        <x:v>1</x:v>
      </x:c>
      <x:c r="J1085"/>
      <x:c r="K1085" s="4"/>
      <x:c r="L1085" s="4"/>
      <x:c r="M1085" s="4"/>
      <x:c r="N1085" s="5"/>
    </x:row>
    <x:row r="1086" ht="24" customHeight="1">
      <x:c r="A1086" s="1" t="inlineStr">
        <x:is>
          <x:t xml:space="preserve">RESULT</x:t>
        </x:is>
      </x:c>
      <x:c r="B1086" s="1" t="inlineStr">
        <x:is>
          <x:t xml:space="preserve">Round2</x:t>
        </x:is>
      </x:c>
      <x:c r="C1086" s="1" t="inlineStr">
        <x:is>
          <x:t xml:space="preserve">Closure_95</x:t>
        </x:is>
      </x:c>
      <x:c r="D1086" s="1" t="inlineStr">
        <x:is>
          <x:t xml:space="preserve">NOT_AVAILABLE</x:t>
        </x:is>
      </x:c>
      <x:c r="E1086" s="5"/>
      <x:c r="F1086" s="4">
        <x:v>0</x:v>
      </x:c>
      <x:c r="G1086" s="4">
        <x:v>13434</x:v>
      </x:c>
      <x:c r="H1086" s="6">
        <x:v>14.26</x:v>
      </x:c>
      <x:c r="I1086" s="16">
        <x:v>1</x:v>
      </x:c>
      <x:c r="J1086"/>
      <x:c r="K1086" s="4"/>
      <x:c r="L1086" s="4"/>
      <x:c r="M1086" s="4"/>
      <x:c r="N1086" s="5"/>
    </x:row>
    <x:row r="1087" ht="24" customHeight="1">
      <x:c r="A1087" s="1" t="inlineStr">
        <x:is>
          <x:t xml:space="preserve">RESULT</x:t>
        </x:is>
      </x:c>
      <x:c r="B1087" s="1" t="inlineStr">
        <x:is>
          <x:t xml:space="preserve">Round2</x:t>
        </x:is>
      </x:c>
      <x:c r="C1087" s="1" t="inlineStr">
        <x:is>
          <x:t xml:space="preserve">Closure_96</x:t>
        </x:is>
      </x:c>
      <x:c r="D1087" s="1" t="inlineStr">
        <x:is>
          <x:t xml:space="preserve">NOT_AVAILABLE</x:t>
        </x:is>
      </x:c>
      <x:c r="E1087" s="5"/>
      <x:c r="F1087" s="4">
        <x:v>0</x:v>
      </x:c>
      <x:c r="G1087" s="4">
        <x:v>15718</x:v>
      </x:c>
      <x:c r="H1087" s="6">
        <x:v>21.01</x:v>
      </x:c>
      <x:c r="I1087" s="16">
        <x:v>1</x:v>
      </x:c>
      <x:c r="J1087"/>
      <x:c r="K1087" s="4"/>
      <x:c r="L1087" s="4"/>
      <x:c r="M1087" s="4"/>
      <x:c r="N1087" s="5"/>
    </x:row>
    <x:row r="1088" ht="24" customHeight="1">
      <x:c r="A1088" s="1" t="inlineStr">
        <x:is>
          <x:t xml:space="preserve">RESULT</x:t>
        </x:is>
      </x:c>
      <x:c r="B1088" s="1" t="inlineStr">
        <x:is>
          <x:t xml:space="preserve">Round2</x:t>
        </x:is>
      </x:c>
      <x:c r="C1088" s="1" t="inlineStr">
        <x:is>
          <x:t xml:space="preserve">Closure_97</x:t>
        </x:is>
      </x:c>
      <x:c r="D1088" s="1" t="inlineStr">
        <x:is>
          <x:t xml:space="preserve">NOT_AVAILABLE</x:t>
        </x:is>
      </x:c>
      <x:c r="E1088" s="5"/>
      <x:c r="F1088" s="4">
        <x:v>0</x:v>
      </x:c>
      <x:c r="G1088" s="4">
        <x:v>12406</x:v>
      </x:c>
      <x:c r="H1088" s="6">
        <x:v>29.64</x:v>
      </x:c>
      <x:c r="I1088" s="16">
        <x:v>1</x:v>
      </x:c>
      <x:c r="J1088"/>
      <x:c r="K1088" s="4"/>
      <x:c r="L1088" s="4"/>
      <x:c r="M1088" s="4"/>
      <x:c r="N1088" s="5"/>
    </x:row>
    <x:row r="1089" ht="24" customHeight="1">
      <x:c r="A1089" s="1" t="inlineStr">
        <x:is>
          <x:t xml:space="preserve">RESULT</x:t>
        </x:is>
      </x:c>
      <x:c r="B1089" s="1" t="inlineStr">
        <x:is>
          <x:t xml:space="preserve">Round2</x:t>
        </x:is>
      </x:c>
      <x:c r="C1089" s="1" t="inlineStr">
        <x:is>
          <x:t xml:space="preserve">Closure_98</x:t>
        </x:is>
      </x:c>
      <x:c r="D1089" s="1" t="inlineStr">
        <x:is>
          <x:t xml:space="preserve">NOT_AVAILABLE</x:t>
        </x:is>
      </x:c>
      <x:c r="E1089" s="5"/>
      <x:c r="F1089" s="4">
        <x:v>0</x:v>
      </x:c>
      <x:c r="G1089" s="4">
        <x:v>9140</x:v>
      </x:c>
      <x:c r="H1089" s="6">
        <x:v>26.44</x:v>
      </x:c>
      <x:c r="I1089" s="16">
        <x:v>1</x:v>
      </x:c>
      <x:c r="J1089"/>
      <x:c r="K1089" s="4"/>
      <x:c r="L1089" s="4"/>
      <x:c r="M1089" s="4"/>
      <x:c r="N1089" s="5"/>
    </x:row>
    <x:row r="1090" ht="24" customHeight="1">
      <x:c r="A1090" s="1" t="inlineStr">
        <x:is>
          <x:t xml:space="preserve">RESULT</x:t>
        </x:is>
      </x:c>
      <x:c r="B1090" s="1" t="inlineStr">
        <x:is>
          <x:t xml:space="preserve">Round2</x:t>
        </x:is>
      </x:c>
      <x:c r="C1090" s="1" t="inlineStr">
        <x:is>
          <x:t xml:space="preserve">Closure_99</x:t>
        </x:is>
      </x:c>
      <x:c r="D1090" s="1" t="inlineStr">
        <x:is>
          <x:t xml:space="preserve">NOT_AVAILABLE</x:t>
        </x:is>
      </x:c>
      <x:c r="E1090" s="5"/>
      <x:c r="F1090" s="4">
        <x:v>0</x:v>
      </x:c>
      <x:c r="G1090" s="4">
        <x:v>4941</x:v>
      </x:c>
      <x:c r="H1090" s="6">
        <x:v>12.65</x:v>
      </x:c>
      <x:c r="I1090" s="16">
        <x:v>1</x:v>
      </x:c>
      <x:c r="J1090"/>
      <x:c r="K1090" s="4"/>
      <x:c r="L1090" s="4"/>
      <x:c r="M1090" s="4"/>
      <x:c r="N1090" s="5"/>
    </x:row>
    <x:row r="1091" ht="24" customHeight="1">
      <x:c r="A1091" s="1" t="inlineStr">
        <x:is>
          <x:t xml:space="preserve">RESULT</x:t>
        </x:is>
      </x:c>
      <x:c r="B1091" s="1" t="inlineStr">
        <x:is>
          <x:t xml:space="preserve">Round2</x:t>
        </x:is>
      </x:c>
      <x:c r="C1091" s="1" t="inlineStr">
        <x:is>
          <x:t xml:space="preserve">Codec_1</x:t>
        </x:is>
      </x:c>
      <x:c r="D1091" s="1" t="inlineStr">
        <x:is>
          <x:t xml:space="preserve">INCONCLUSIVE</x:t>
        </x:is>
      </x:c>
      <x:c r="E1091" s="5">
        <x:v>0.7227</x:v>
      </x:c>
      <x:c r="F1091" s="4">
        <x:v>0</x:v>
      </x:c>
      <x:c r="G1091" s="4">
        <x:v>86900</x:v>
      </x:c>
      <x:c r="H1091" s="6">
        <x:v>2833.71</x:v>
      </x:c>
      <x:c r="I1091" s="16">
        <x:v>1</x:v>
      </x:c>
      <x:c r="J1091">
        <x:v>256</x:v>
      </x:c>
      <x:c r="K1091" s="4">
        <x:v>185</x:v>
      </x:c>
      <x:c r="L1091" s="4">
        <x:v>184</x:v>
      </x:c>
      <x:c r="M1091" s="4">
        <x:v>98</x:v>
      </x:c>
      <x:c r="N1091" s="5">
        <x:v>0.5326</x:v>
      </x:c>
    </x:row>
    <x:row r="1092" ht="24" customHeight="1">
      <x:c r="A1092" s="1" t="inlineStr">
        <x:is>
          <x:t xml:space="preserve">RESULT</x:t>
        </x:is>
      </x:c>
      <x:c r="B1092" s="1" t="inlineStr">
        <x:is>
          <x:t xml:space="preserve">Round2</x:t>
        </x:is>
      </x:c>
      <x:c r="C1092" s="1" t="inlineStr">
        <x:is>
          <x:t xml:space="preserve">Codec_10</x:t>
        </x:is>
      </x:c>
      <x:c r="D1092" s="1" t="inlineStr">
        <x:is>
          <x:t xml:space="preserve">NOT_REVEALING</x:t>
        </x:is>
      </x:c>
      <x:c r="E1092" s="5">
        <x:v>1.0</x:v>
      </x:c>
      <x:c r="F1092" s="4">
        <x:v>0</x:v>
      </x:c>
      <x:c r="G1092" s="4">
        <x:v>25148</x:v>
      </x:c>
      <x:c r="H1092" s="6">
        <x:v>901.6</x:v>
      </x:c>
      <x:c r="I1092" s="16">
        <x:v>1</x:v>
      </x:c>
      <x:c r="J1092">
        <x:v>69</x:v>
      </x:c>
      <x:c r="K1092" s="4">
        <x:v>69</x:v>
      </x:c>
      <x:c r="L1092" s="4">
        <x:v>6</x:v>
      </x:c>
      <x:c r="M1092" s="4">
        <x:v>6</x:v>
      </x:c>
      <x:c r="N1092" s="5">
        <x:v>1.0</x:v>
      </x:c>
    </x:row>
    <x:row r="1093" ht="24" customHeight="1">
      <x:c r="A1093" s="1" t="inlineStr">
        <x:is>
          <x:t xml:space="preserve">RESULT</x:t>
        </x:is>
      </x:c>
      <x:c r="B1093" s="1" t="inlineStr">
        <x:is>
          <x:t xml:space="preserve">Round2</x:t>
        </x:is>
      </x:c>
      <x:c r="C1093" s="1" t="inlineStr">
        <x:is>
          <x:t xml:space="preserve">Codec_11</x:t>
        </x:is>
      </x:c>
      <x:c r="D1093" s="1" t="inlineStr">
        <x:is>
          <x:t xml:space="preserve">INCONCLUSIVE</x:t>
        </x:is>
      </x:c>
      <x:c r="E1093" s="5">
        <x:v>0.9259000000000001</x:v>
      </x:c>
      <x:c r="F1093" s="4">
        <x:v>0</x:v>
      </x:c>
      <x:c r="G1093" s="4">
        <x:v>29880</x:v>
      </x:c>
      <x:c r="H1093" s="6">
        <x:v>818.32</x:v>
      </x:c>
      <x:c r="I1093" s="16">
        <x:v>1</x:v>
      </x:c>
      <x:c r="J1093">
        <x:v>81</x:v>
      </x:c>
      <x:c r="K1093" s="4">
        <x:v>75</x:v>
      </x:c>
      <x:c r="L1093" s="4">
        <x:v>36</x:v>
      </x:c>
      <x:c r="M1093" s="4">
        <x:v>34</x:v>
      </x:c>
      <x:c r="N1093" s="5">
        <x:v>0.9444</x:v>
      </x:c>
    </x:row>
    <x:row r="1094" ht="24" customHeight="1">
      <x:c r="A1094" s="1" t="inlineStr">
        <x:is>
          <x:t xml:space="preserve">RESULT</x:t>
        </x:is>
      </x:c>
      <x:c r="B1094" s="1" t="inlineStr">
        <x:is>
          <x:t xml:space="preserve">Round2</x:t>
        </x:is>
      </x:c>
      <x:c r="C1094" s="1" t="inlineStr">
        <x:is>
          <x:t xml:space="preserve">Codec_12</x:t>
        </x:is>
      </x:c>
      <x:c r="D1094" s="1" t="inlineStr">
        <x:is>
          <x:t xml:space="preserve">INCONCLUSIVE</x:t>
        </x:is>
      </x:c>
      <x:c r="E1094" s="5">
        <x:v>0.9677</x:v>
      </x:c>
      <x:c r="F1094" s="4">
        <x:v>0</x:v>
      </x:c>
      <x:c r="G1094" s="4">
        <x:v>28288</x:v>
      </x:c>
      <x:c r="H1094" s="6">
        <x:v>782.13</x:v>
      </x:c>
      <x:c r="I1094" s="16">
        <x:v>1</x:v>
      </x:c>
      <x:c r="J1094">
        <x:v>31</x:v>
      </x:c>
      <x:c r="K1094" s="4">
        <x:v>30</x:v>
      </x:c>
      <x:c r="L1094" s="4">
        <x:v>26</x:v>
      </x:c>
      <x:c r="M1094" s="4">
        <x:v>25</x:v>
      </x:c>
      <x:c r="N1094" s="5">
        <x:v>0.9615</x:v>
      </x:c>
    </x:row>
    <x:row r="1095" ht="24" customHeight="1">
      <x:c r="A1095" s="1" t="inlineStr">
        <x:is>
          <x:t xml:space="preserve">RESULT</x:t>
        </x:is>
      </x:c>
      <x:c r="B1095" s="1" t="inlineStr">
        <x:is>
          <x:t xml:space="preserve">Round2</x:t>
        </x:is>
      </x:c>
      <x:c r="C1095" s="1" t="inlineStr">
        <x:is>
          <x:t xml:space="preserve">Codec_13</x:t>
        </x:is>
      </x:c>
      <x:c r="D1095" s="1" t="inlineStr">
        <x:is>
          <x:t xml:space="preserve">NOT_AVAILABLE</x:t>
        </x:is>
      </x:c>
      <x:c r="E1095" s="5"/>
      <x:c r="F1095" s="4">
        <x:v>0</x:v>
      </x:c>
      <x:c r="G1095" s="4">
        <x:v>20827</x:v>
      </x:c>
      <x:c r="H1095" s="6">
        <x:v>60.38</x:v>
      </x:c>
      <x:c r="I1095" s="16">
        <x:v>1</x:v>
      </x:c>
      <x:c r="J1095"/>
      <x:c r="K1095" s="4"/>
      <x:c r="L1095" s="4"/>
      <x:c r="M1095" s="4"/>
      <x:c r="N1095" s="5"/>
    </x:row>
    <x:row r="1096" ht="24" customHeight="1">
      <x:c r="A1096" s="1" t="inlineStr">
        <x:is>
          <x:t xml:space="preserve">RESULT</x:t>
        </x:is>
      </x:c>
      <x:c r="B1096" s="1" t="inlineStr">
        <x:is>
          <x:t xml:space="preserve">Round2</x:t>
        </x:is>
      </x:c>
      <x:c r="C1096" s="1" t="inlineStr">
        <x:is>
          <x:t xml:space="preserve">Codec_14</x:t>
        </x:is>
      </x:c>
      <x:c r="D1096" s="1" t="inlineStr">
        <x:is>
          <x:t xml:space="preserve">NOT_AVAILABLE</x:t>
        </x:is>
      </x:c>
      <x:c r="E1096" s="5"/>
      <x:c r="F1096" s="4">
        <x:v>0</x:v>
      </x:c>
      <x:c r="G1096" s="4">
        <x:v>20605</x:v>
      </x:c>
      <x:c r="H1096" s="6">
        <x:v>36.06</x:v>
      </x:c>
      <x:c r="I1096" s="16">
        <x:v>1</x:v>
      </x:c>
      <x:c r="J1096"/>
      <x:c r="K1096" s="4"/>
      <x:c r="L1096" s="4"/>
      <x:c r="M1096" s="4"/>
      <x:c r="N1096" s="5"/>
    </x:row>
    <x:row r="1097" ht="24" customHeight="1">
      <x:c r="A1097" s="1" t="inlineStr">
        <x:is>
          <x:t xml:space="preserve">RESULT</x:t>
        </x:is>
      </x:c>
      <x:c r="B1097" s="1" t="inlineStr">
        <x:is>
          <x:t xml:space="preserve">Round2</x:t>
        </x:is>
      </x:c>
      <x:c r="C1097" s="1" t="inlineStr">
        <x:is>
          <x:t xml:space="preserve">Codec_15</x:t>
        </x:is>
      </x:c>
      <x:c r="D1097" s="1" t="inlineStr">
        <x:is>
          <x:t xml:space="preserve">INCONCLUSIVE</x:t>
        </x:is>
      </x:c>
      <x:c r="E1097" s="5">
        <x:v>0.9804</x:v>
      </x:c>
      <x:c r="F1097" s="4">
        <x:v>0</x:v>
      </x:c>
      <x:c r="G1097" s="4">
        <x:v>4722</x:v>
      </x:c>
      <x:c r="H1097" s="6">
        <x:v>7.65</x:v>
      </x:c>
      <x:c r="I1097" s="16">
        <x:v>1</x:v>
      </x:c>
      <x:c r="J1097">
        <x:v>51</x:v>
      </x:c>
      <x:c r="K1097" s="4">
        <x:v>50</x:v>
      </x:c>
      <x:c r="L1097" s="4">
        <x:v>34</x:v>
      </x:c>
      <x:c r="M1097" s="4">
        <x:v>26</x:v>
      </x:c>
      <x:c r="N1097" s="5">
        <x:v>0.7646999999999999</x:v>
      </x:c>
    </x:row>
    <x:row r="1098" ht="24" customHeight="1">
      <x:c r="A1098" s="1" t="inlineStr">
        <x:is>
          <x:t xml:space="preserve">RESULT</x:t>
        </x:is>
      </x:c>
      <x:c r="B1098" s="1" t="inlineStr">
        <x:is>
          <x:t xml:space="preserve">Round2</x:t>
        </x:is>
      </x:c>
      <x:c r="C1098" s="1" t="inlineStr">
        <x:is>
          <x:t xml:space="preserve">Codec_16</x:t>
        </x:is>
      </x:c>
      <x:c r="D1098" s="1" t="inlineStr">
        <x:is>
          <x:t xml:space="preserve">INCONCLUSIVE</x:t>
        </x:is>
      </x:c>
      <x:c r="E1098" s="5">
        <x:v>0.8364</x:v>
      </x:c>
      <x:c r="F1098" s="4">
        <x:v>0</x:v>
      </x:c>
      <x:c r="G1098" s="4">
        <x:v>6875</x:v>
      </x:c>
      <x:c r="H1098" s="6">
        <x:v>10.12</x:v>
      </x:c>
      <x:c r="I1098" s="16">
        <x:v>1</x:v>
      </x:c>
      <x:c r="J1098">
        <x:v>165</x:v>
      </x:c>
      <x:c r="K1098" s="4">
        <x:v>138</x:v>
      </x:c>
      <x:c r="L1098" s="4">
        <x:v>75</x:v>
      </x:c>
      <x:c r="M1098" s="4">
        <x:v>60</x:v>
      </x:c>
      <x:c r="N1098" s="5">
        <x:v>0.8</x:v>
      </x:c>
    </x:row>
    <x:row r="1099" ht="24" customHeight="1">
      <x:c r="A1099" s="1" t="inlineStr">
        <x:is>
          <x:t xml:space="preserve">RESULT</x:t>
        </x:is>
      </x:c>
      <x:c r="B1099" s="1" t="inlineStr">
        <x:is>
          <x:t xml:space="preserve">Round2</x:t>
        </x:is>
      </x:c>
      <x:c r="C1099" s="1" t="inlineStr">
        <x:is>
          <x:t xml:space="preserve">Codec_17</x:t>
        </x:is>
      </x:c>
      <x:c r="D1099" s="1" t="inlineStr">
        <x:is>
          <x:t xml:space="preserve">NOT_AVAILABLE</x:t>
        </x:is>
      </x:c>
      <x:c r="E1099" s="5"/>
      <x:c r="F1099" s="4">
        <x:v>0</x:v>
      </x:c>
      <x:c r="G1099" s="4">
        <x:v>7741</x:v>
      </x:c>
      <x:c r="H1099" s="6">
        <x:v>10.7</x:v>
      </x:c>
      <x:c r="I1099" s="16">
        <x:v>1</x:v>
      </x:c>
      <x:c r="J1099"/>
      <x:c r="K1099" s="4"/>
      <x:c r="L1099" s="4"/>
      <x:c r="M1099" s="4"/>
      <x:c r="N1099" s="5"/>
    </x:row>
    <x:row r="1100" ht="24" customHeight="1">
      <x:c r="A1100" s="1" t="inlineStr">
        <x:is>
          <x:t xml:space="preserve">RESULT</x:t>
        </x:is>
      </x:c>
      <x:c r="B1100" s="1" t="inlineStr">
        <x:is>
          <x:t xml:space="preserve">Round2</x:t>
        </x:is>
      </x:c>
      <x:c r="C1100" s="1" t="inlineStr">
        <x:is>
          <x:t xml:space="preserve">Codec_18</x:t>
        </x:is>
      </x:c>
      <x:c r="D1100" s="1" t="inlineStr">
        <x:is>
          <x:t xml:space="preserve">NOT_REVEALING</x:t>
        </x:is>
      </x:c>
      <x:c r="E1100" s="5">
        <x:v>0.9743999999999999</x:v>
      </x:c>
      <x:c r="F1100" s="4">
        <x:v>0</x:v>
      </x:c>
      <x:c r="G1100" s="4">
        <x:v>8030</x:v>
      </x:c>
      <x:c r="H1100" s="6">
        <x:v>12.96</x:v>
      </x:c>
      <x:c r="I1100" s="16">
        <x:v>1</x:v>
      </x:c>
      <x:c r="J1100">
        <x:v>39</x:v>
      </x:c>
      <x:c r="K1100" s="4">
        <x:v>38</x:v>
      </x:c>
      <x:c r="L1100" s="4">
        <x:v>20</x:v>
      </x:c>
      <x:c r="M1100" s="4">
        <x:v>19</x:v>
      </x:c>
      <x:c r="N1100" s="5">
        <x:v>0.95</x:v>
      </x:c>
    </x:row>
    <x:row r="1101" ht="24" customHeight="1">
      <x:c r="A1101" s="1" t="inlineStr">
        <x:is>
          <x:t xml:space="preserve">RESULT</x:t>
        </x:is>
      </x:c>
      <x:c r="B1101" s="1" t="inlineStr">
        <x:is>
          <x:t xml:space="preserve">Round2</x:t>
        </x:is>
      </x:c>
      <x:c r="C1101" s="1" t="inlineStr">
        <x:is>
          <x:t xml:space="preserve">Codec_2</x:t>
        </x:is>
      </x:c>
      <x:c r="D1101" s="1" t="inlineStr">
        <x:is>
          <x:t xml:space="preserve">INCONCLUSIVE</x:t>
        </x:is>
      </x:c>
      <x:c r="E1101" s="5">
        <x:v>0.8364</x:v>
      </x:c>
      <x:c r="F1101" s="4">
        <x:v>0</x:v>
      </x:c>
      <x:c r="G1101" s="4"/>
      <x:c r="H1101" s="6"/>
      <x:c r="I1101" s="16">
        <x:v>1</x:v>
      </x:c>
      <x:c r="J1101">
        <x:v>214</x:v>
      </x:c>
      <x:c r="K1101" s="4">
        <x:v>179</x:v>
      </x:c>
      <x:c r="L1101" s="4">
        <x:v>146</x:v>
      </x:c>
      <x:c r="M1101" s="4">
        <x:v>102</x:v>
      </x:c>
      <x:c r="N1101" s="5">
        <x:v>0.6986</x:v>
      </x:c>
    </x:row>
    <x:row r="1102" ht="24" customHeight="1">
      <x:c r="A1102" s="1" t="inlineStr">
        <x:is>
          <x:t xml:space="preserve">RESULT</x:t>
        </x:is>
      </x:c>
      <x:c r="B1102" s="1" t="inlineStr">
        <x:is>
          <x:t xml:space="preserve">Round2</x:t>
        </x:is>
      </x:c>
      <x:c r="C1102" s="1" t="inlineStr">
        <x:is>
          <x:t xml:space="preserve">Codec_3</x:t>
        </x:is>
      </x:c>
      <x:c r="D1102" s="1" t="inlineStr">
        <x:is>
          <x:t xml:space="preserve">INCONCLUSIVE</x:t>
        </x:is>
      </x:c>
      <x:c r="E1102" s="5">
        <x:v>0.9248999999999999</x:v>
      </x:c>
      <x:c r="F1102" s="4">
        <x:v>0</x:v>
      </x:c>
      <x:c r="G1102" s="4">
        <x:v>15186</x:v>
      </x:c>
      <x:c r="H1102" s="6">
        <x:v>33.53</x:v>
      </x:c>
      <x:c r="I1102" s="16">
        <x:v>1</x:v>
      </x:c>
      <x:c r="J1102">
        <x:v>453</x:v>
      </x:c>
      <x:c r="K1102" s="4">
        <x:v>419</x:v>
      </x:c>
      <x:c r="L1102" s="4">
        <x:v>450</x:v>
      </x:c>
      <x:c r="M1102" s="4">
        <x:v>364</x:v>
      </x:c>
      <x:c r="N1102" s="5">
        <x:v>0.8089</x:v>
      </x:c>
    </x:row>
    <x:row r="1103" ht="24" customHeight="1">
      <x:c r="A1103" s="1" t="inlineStr">
        <x:is>
          <x:t xml:space="preserve">RESULT</x:t>
        </x:is>
      </x:c>
      <x:c r="B1103" s="1" t="inlineStr">
        <x:is>
          <x:t xml:space="preserve">Round2</x:t>
        </x:is>
      </x:c>
      <x:c r="C1103" s="1" t="inlineStr">
        <x:is>
          <x:t xml:space="preserve">Codec_4</x:t>
        </x:is>
      </x:c>
      <x:c r="D1103" s="1" t="inlineStr">
        <x:is>
          <x:t xml:space="preserve">INCONCLUSIVE</x:t>
        </x:is>
      </x:c>
      <x:c r="E1103" s="5">
        <x:v>0.9264</x:v>
      </x:c>
      <x:c r="F1103" s="4">
        <x:v>0</x:v>
      </x:c>
      <x:c r="G1103" s="4">
        <x:v>7531</x:v>
      </x:c>
      <x:c r="H1103" s="6">
        <x:v>10.83</x:v>
      </x:c>
      <x:c r="I1103" s="16">
        <x:v>1</x:v>
      </x:c>
      <x:c r="J1103">
        <x:v>231</x:v>
      </x:c>
      <x:c r="K1103" s="4">
        <x:v>214</x:v>
      </x:c>
      <x:c r="L1103" s="4">
        <x:v>158</x:v>
      </x:c>
      <x:c r="M1103" s="4">
        <x:v>125</x:v>
      </x:c>
      <x:c r="N1103" s="5">
        <x:v>0.7911</x:v>
      </x:c>
    </x:row>
    <x:row r="1104" ht="24" customHeight="1">
      <x:c r="A1104" s="1" t="inlineStr">
        <x:is>
          <x:t xml:space="preserve">RESULT</x:t>
        </x:is>
      </x:c>
      <x:c r="B1104" s="1" t="inlineStr">
        <x:is>
          <x:t xml:space="preserve">Round2</x:t>
        </x:is>
      </x:c>
      <x:c r="C1104" s="1" t="inlineStr">
        <x:is>
          <x:t xml:space="preserve">Codec_5</x:t>
        </x:is>
      </x:c>
      <x:c r="D1104" s="1" t="inlineStr">
        <x:is>
          <x:t xml:space="preserve">INCONCLUSIVE</x:t>
        </x:is>
      </x:c>
      <x:c r="E1104" s="5">
        <x:v>0.8831</x:v>
      </x:c>
      <x:c r="F1104" s="4">
        <x:v>0</x:v>
      </x:c>
      <x:c r="G1104" s="4"/>
      <x:c r="H1104" s="6"/>
      <x:c r="I1104" s="16">
        <x:v>1</x:v>
      </x:c>
      <x:c r="J1104">
        <x:v>231</x:v>
      </x:c>
      <x:c r="K1104" s="4">
        <x:v>204</x:v>
      </x:c>
      <x:c r="L1104" s="4">
        <x:v>158</x:v>
      </x:c>
      <x:c r="M1104" s="4">
        <x:v>117</x:v>
      </x:c>
      <x:c r="N1104" s="5">
        <x:v>0.7404999999999999</x:v>
      </x:c>
    </x:row>
    <x:row r="1105" ht="24" customHeight="1">
      <x:c r="A1105" s="1" t="inlineStr">
        <x:is>
          <x:t xml:space="preserve">RESULT</x:t>
        </x:is>
      </x:c>
      <x:c r="B1105" s="1" t="inlineStr">
        <x:is>
          <x:t xml:space="preserve">Round2</x:t>
        </x:is>
      </x:c>
      <x:c r="C1105" s="1" t="inlineStr">
        <x:is>
          <x:t xml:space="preserve">Codec_6</x:t>
        </x:is>
      </x:c>
      <x:c r="D1105" s="1" t="inlineStr">
        <x:is>
          <x:t xml:space="preserve">INCONCLUSIVE</x:t>
        </x:is>
      </x:c>
      <x:c r="E1105" s="5">
        <x:v>1.0</x:v>
      </x:c>
      <x:c r="F1105" s="4">
        <x:v>0</x:v>
      </x:c>
      <x:c r="G1105" s="4">
        <x:v>4566</x:v>
      </x:c>
      <x:c r="H1105" s="6">
        <x:v>22.57</x:v>
      </x:c>
      <x:c r="I1105" s="16">
        <x:v>1</x:v>
      </x:c>
      <x:c r="J1105">
        <x:v>35</x:v>
      </x:c>
      <x:c r="K1105" s="4">
        <x:v>35</x:v>
      </x:c>
      <x:c r="L1105" s="4">
        <x:v>28</x:v>
      </x:c>
      <x:c r="M1105" s="4">
        <x:v>26</x:v>
      </x:c>
      <x:c r="N1105" s="5">
        <x:v>0.9286</x:v>
      </x:c>
    </x:row>
    <x:row r="1106" ht="24" customHeight="1">
      <x:c r="A1106" s="1" t="inlineStr">
        <x:is>
          <x:t xml:space="preserve">RESULT</x:t>
        </x:is>
      </x:c>
      <x:c r="B1106" s="1" t="inlineStr">
        <x:is>
          <x:t xml:space="preserve">Round2</x:t>
        </x:is>
      </x:c>
      <x:c r="C1106" s="1" t="inlineStr">
        <x:is>
          <x:t xml:space="preserve">Codec_7</x:t>
        </x:is>
      </x:c>
      <x:c r="D1106" s="1" t="inlineStr">
        <x:is>
          <x:t xml:space="preserve">INCONCLUSIVE</x:t>
        </x:is>
      </x:c>
      <x:c r="E1106" s="5">
        <x:v>0.8412000000000001</x:v>
      </x:c>
      <x:c r="F1106" s="4">
        <x:v>0</x:v>
      </x:c>
      <x:c r="G1106" s="4"/>
      <x:c r="H1106" s="6"/>
      <x:c r="I1106" s="16">
        <x:v>1</x:v>
      </x:c>
      <x:c r="J1106">
        <x:v>233</x:v>
      </x:c>
      <x:c r="K1106" s="4">
        <x:v>196</x:v>
      </x:c>
      <x:c r="L1106" s="4">
        <x:v>162</x:v>
      </x:c>
      <x:c r="M1106" s="4">
        <x:v>119</x:v>
      </x:c>
      <x:c r="N1106" s="5">
        <x:v>0.7345999999999999</x:v>
      </x:c>
    </x:row>
    <x:row r="1107" ht="24" customHeight="1">
      <x:c r="A1107" s="1" t="inlineStr">
        <x:is>
          <x:t xml:space="preserve">RESULT</x:t>
        </x:is>
      </x:c>
      <x:c r="B1107" s="1" t="inlineStr">
        <x:is>
          <x:t xml:space="preserve">Round2</x:t>
        </x:is>
      </x:c>
      <x:c r="C1107" s="1" t="inlineStr">
        <x:is>
          <x:t xml:space="preserve">Codec_8</x:t>
        </x:is>
      </x:c>
      <x:c r="D1107" s="1" t="inlineStr">
        <x:is>
          <x:t xml:space="preserve">INCONCLUSIVE</x:t>
        </x:is>
      </x:c>
      <x:c r="E1107" s="5">
        <x:v>0.8621</x:v>
      </x:c>
      <x:c r="F1107" s="4">
        <x:v>0</x:v>
      </x:c>
      <x:c r="G1107" s="4"/>
      <x:c r="H1107" s="6"/>
      <x:c r="I1107" s="16">
        <x:v>1</x:v>
      </x:c>
      <x:c r="J1107">
        <x:v>261</x:v>
      </x:c>
      <x:c r="K1107" s="4">
        <x:v>225</x:v>
      </x:c>
      <x:c r="L1107" s="4">
        <x:v>186</x:v>
      </x:c>
      <x:c r="M1107" s="4">
        <x:v>145</x:v>
      </x:c>
      <x:c r="N1107" s="5">
        <x:v>0.7796</x:v>
      </x:c>
    </x:row>
    <x:row r="1108" ht="24" customHeight="1">
      <x:c r="A1108" s="1" t="inlineStr">
        <x:is>
          <x:t xml:space="preserve">RESULT</x:t>
        </x:is>
      </x:c>
      <x:c r="B1108" s="1" t="inlineStr">
        <x:is>
          <x:t xml:space="preserve">Round2</x:t>
        </x:is>
      </x:c>
      <x:c r="C1108" s="1" t="inlineStr">
        <x:is>
          <x:t xml:space="preserve">Codec_9</x:t>
        </x:is>
      </x:c>
      <x:c r="D1108" s="1" t="inlineStr">
        <x:is>
          <x:t xml:space="preserve">NOT_AVAILABLE</x:t>
        </x:is>
      </x:c>
      <x:c r="E1108" s="5"/>
      <x:c r="F1108" s="4">
        <x:v>0</x:v>
      </x:c>
      <x:c r="G1108" s="4">
        <x:v>8375</x:v>
      </x:c>
      <x:c r="H1108" s="6">
        <x:v>23.97</x:v>
      </x:c>
      <x:c r="I1108" s="16">
        <x:v>1</x:v>
      </x:c>
      <x:c r="J1108"/>
      <x:c r="K1108" s="4"/>
      <x:c r="L1108" s="4"/>
      <x:c r="M1108" s="4"/>
      <x:c r="N1108" s="5"/>
    </x:row>
    <x:row r="1109" ht="24" customHeight="1">
      <x:c r="A1109" s="1" t="inlineStr">
        <x:is>
          <x:t xml:space="preserve">RESULT</x:t>
        </x:is>
      </x:c>
      <x:c r="B1109" s="1" t="inlineStr">
        <x:is>
          <x:t xml:space="preserve">Round2</x:t>
        </x:is>
      </x:c>
      <x:c r="C1109" s="1" t="inlineStr">
        <x:is>
          <x:t xml:space="preserve">Collections_1</x:t>
        </x:is>
      </x:c>
      <x:c r="D1109" s="1" t="inlineStr">
        <x:is>
          <x:t xml:space="preserve">INCONCLUSIVE</x:t>
        </x:is>
      </x:c>
      <x:c r="E1109" s="5">
        <x:v>0.5539999999999999</x:v>
      </x:c>
      <x:c r="F1109" s="4">
        <x:v>0</x:v>
      </x:c>
      <x:c r="G1109" s="4">
        <x:v>9251</x:v>
      </x:c>
      <x:c r="H1109" s="6">
        <x:v>18.91</x:v>
      </x:c>
      <x:c r="I1109" s="16">
        <x:v>1</x:v>
      </x:c>
      <x:c r="J1109">
        <x:v>491</x:v>
      </x:c>
      <x:c r="K1109" s="4">
        <x:v>272</x:v>
      </x:c>
      <x:c r="L1109" s="4">
        <x:v>376</x:v>
      </x:c>
      <x:c r="M1109" s="4">
        <x:v>160</x:v>
      </x:c>
      <x:c r="N1109" s="5">
        <x:v>0.4255</x:v>
      </x:c>
    </x:row>
    <x:row r="1110" ht="24" customHeight="1">
      <x:c r="A1110" s="1" t="inlineStr">
        <x:is>
          <x:t xml:space="preserve">RESULT</x:t>
        </x:is>
      </x:c>
      <x:c r="B1110" s="1" t="inlineStr">
        <x:is>
          <x:t xml:space="preserve">Round2</x:t>
        </x:is>
      </x:c>
      <x:c r="C1110" s="1" t="inlineStr">
        <x:is>
          <x:t xml:space="preserve">Collections_10</x:t>
        </x:is>
      </x:c>
      <x:c r="D1110" s="1" t="inlineStr">
        <x:is>
          <x:t xml:space="preserve">NOT_REVEALING</x:t>
        </x:is>
      </x:c>
      <x:c r="E1110" s="5">
        <x:v>0.8571</x:v>
      </x:c>
      <x:c r="F1110" s="4">
        <x:v>0</x:v>
      </x:c>
      <x:c r="G1110" s="4"/>
      <x:c r="H1110" s="6"/>
      <x:c r="I1110" s="16">
        <x:v>1</x:v>
      </x:c>
      <x:c r="J1110">
        <x:v>119</x:v>
      </x:c>
      <x:c r="K1110" s="4">
        <x:v>102</x:v>
      </x:c>
      <x:c r="L1110" s="4">
        <x:v>48</x:v>
      </x:c>
      <x:c r="M1110" s="4">
        <x:v>40</x:v>
      </x:c>
      <x:c r="N1110" s="5">
        <x:v>0.8332999999999999</x:v>
      </x:c>
    </x:row>
    <x:row r="1111" ht="24" customHeight="1">
      <x:c r="A1111" s="1" t="inlineStr">
        <x:is>
          <x:t xml:space="preserve">RESULT</x:t>
        </x:is>
      </x:c>
      <x:c r="B1111" s="1" t="inlineStr">
        <x:is>
          <x:t xml:space="preserve">Round2</x:t>
        </x:is>
      </x:c>
      <x:c r="C1111" s="1" t="inlineStr">
        <x:is>
          <x:t xml:space="preserve">Collections_11</x:t>
        </x:is>
      </x:c>
      <x:c r="D1111" s="1" t="inlineStr">
        <x:is>
          <x:t xml:space="preserve">INCONCLUSIVE</x:t>
        </x:is>
      </x:c>
      <x:c r="E1111" s="5">
        <x:v>1.0</x:v>
      </x:c>
      <x:c r="F1111" s="4">
        <x:v>0</x:v>
      </x:c>
      <x:c r="G1111" s="4"/>
      <x:c r="H1111" s="6"/>
      <x:c r="I1111" s="16">
        <x:v>1</x:v>
      </x:c>
      <x:c r="J1111">
        <x:v>35</x:v>
      </x:c>
      <x:c r="K1111" s="4">
        <x:v>35</x:v>
      </x:c>
      <x:c r="L1111" s="4">
        <x:v>12</x:v>
      </x:c>
      <x:c r="M1111" s="4">
        <x:v>12</x:v>
      </x:c>
      <x:c r="N1111" s="5">
        <x:v>1.0</x:v>
      </x:c>
    </x:row>
    <x:row r="1112" ht="24" customHeight="1">
      <x:c r="A1112" s="1" t="inlineStr">
        <x:is>
          <x:t xml:space="preserve">RESULT</x:t>
        </x:is>
      </x:c>
      <x:c r="B1112" s="1" t="inlineStr">
        <x:is>
          <x:t xml:space="preserve">Round2</x:t>
        </x:is>
      </x:c>
      <x:c r="C1112" s="1" t="inlineStr">
        <x:is>
          <x:t xml:space="preserve">Collections_12</x:t>
        </x:is>
      </x:c>
      <x:c r="D1112" s="1" t="inlineStr">
        <x:is>
          <x:t xml:space="preserve">NOT_AVAILABLE</x:t>
        </x:is>
      </x:c>
      <x:c r="E1112" s="5"/>
      <x:c r="F1112" s="4">
        <x:v>0</x:v>
      </x:c>
      <x:c r="G1112" s="4">
        <x:v>9908</x:v>
      </x:c>
      <x:c r="H1112" s="6">
        <x:v>20.18</x:v>
      </x:c>
      <x:c r="I1112" s="16">
        <x:v>1</x:v>
      </x:c>
      <x:c r="J1112"/>
      <x:c r="K1112" s="4"/>
      <x:c r="L1112" s="4"/>
      <x:c r="M1112" s="4"/>
      <x:c r="N1112" s="5"/>
    </x:row>
    <x:row r="1113" ht="24" customHeight="1">
      <x:c r="A1113" s="1" t="inlineStr">
        <x:is>
          <x:t xml:space="preserve">RESULT</x:t>
        </x:is>
      </x:c>
      <x:c r="B1113" s="1" t="inlineStr">
        <x:is>
          <x:t xml:space="preserve">Round2</x:t>
        </x:is>
      </x:c>
      <x:c r="C1113" s="1" t="inlineStr">
        <x:is>
          <x:t xml:space="preserve">Collections_13</x:t>
        </x:is>
      </x:c>
      <x:c r="D1113" s="1" t="inlineStr">
        <x:is>
          <x:t xml:space="preserve">NOT_AVAILABLE</x:t>
        </x:is>
      </x:c>
      <x:c r="E1113" s="5"/>
      <x:c r="F1113" s="4">
        <x:v>0</x:v>
      </x:c>
      <x:c r="G1113" s="4">
        <x:v>11098</x:v>
      </x:c>
      <x:c r="H1113" s="6">
        <x:v>37.0</x:v>
      </x:c>
      <x:c r="I1113" s="16">
        <x:v>1</x:v>
      </x:c>
      <x:c r="J1113"/>
      <x:c r="K1113" s="4"/>
      <x:c r="L1113" s="4"/>
      <x:c r="M1113" s="4"/>
      <x:c r="N1113" s="5"/>
    </x:row>
    <x:row r="1114" ht="24" customHeight="1">
      <x:c r="A1114" s="1" t="inlineStr">
        <x:is>
          <x:t xml:space="preserve">RESULT</x:t>
        </x:is>
      </x:c>
      <x:c r="B1114" s="1" t="inlineStr">
        <x:is>
          <x:t xml:space="preserve">Round2</x:t>
        </x:is>
      </x:c>
      <x:c r="C1114" s="1" t="inlineStr">
        <x:is>
          <x:t xml:space="preserve">Collections_14</x:t>
        </x:is>
      </x:c>
      <x:c r="D1114" s="1" t="inlineStr">
        <x:is>
          <x:t xml:space="preserve">NOT_REVEALING</x:t>
        </x:is>
      </x:c>
      <x:c r="E1114" s="5">
        <x:v>0.6667000000000001</x:v>
      </x:c>
      <x:c r="F1114" s="4">
        <x:v>0</x:v>
      </x:c>
      <x:c r="G1114" s="4">
        <x:v>5054</x:v>
      </x:c>
      <x:c r="H1114" s="6">
        <x:v>23.64</x:v>
      </x:c>
      <x:c r="I1114" s="16">
        <x:v>1</x:v>
      </x:c>
      <x:c r="J1114">
        <x:v>18</x:v>
      </x:c>
      <x:c r="K1114" s="4">
        <x:v>12</x:v>
      </x:c>
      <x:c r="L1114" s="4">
        <x:v>2</x:v>
      </x:c>
      <x:c r="M1114" s="4">
        <x:v>2</x:v>
      </x:c>
      <x:c r="N1114" s="5">
        <x:v>1.0</x:v>
      </x:c>
    </x:row>
    <x:row r="1115" ht="24" customHeight="1">
      <x:c r="A1115" s="1" t="inlineStr">
        <x:is>
          <x:t xml:space="preserve">RESULT</x:t>
        </x:is>
      </x:c>
      <x:c r="B1115" s="1" t="inlineStr">
        <x:is>
          <x:t xml:space="preserve">Round2</x:t>
        </x:is>
      </x:c>
      <x:c r="C1115" s="1" t="inlineStr">
        <x:is>
          <x:t xml:space="preserve">Collections_15</x:t>
        </x:is>
      </x:c>
      <x:c r="D1115" s="1" t="inlineStr">
        <x:is>
          <x:t xml:space="preserve">NOT_REVEALING</x:t>
        </x:is>
      </x:c>
      <x:c r="E1115" s="5">
        <x:v>0.9767</x:v>
      </x:c>
      <x:c r="F1115" s="4">
        <x:v>0</x:v>
      </x:c>
      <x:c r="G1115" s="4">
        <x:v>5769</x:v>
      </x:c>
      <x:c r="H1115" s="6">
        <x:v>18.47</x:v>
      </x:c>
      <x:c r="I1115" s="16">
        <x:v>1</x:v>
      </x:c>
      <x:c r="J1115">
        <x:v>86</x:v>
      </x:c>
      <x:c r="K1115" s="4">
        <x:v>84</x:v>
      </x:c>
      <x:c r="L1115" s="4">
        <x:v>22</x:v>
      </x:c>
      <x:c r="M1115" s="4">
        <x:v>22</x:v>
      </x:c>
      <x:c r="N1115" s="5">
        <x:v>1.0</x:v>
      </x:c>
    </x:row>
    <x:row r="1116" ht="24" customHeight="1">
      <x:c r="A1116" s="1" t="inlineStr">
        <x:is>
          <x:t xml:space="preserve">RESULT</x:t>
        </x:is>
      </x:c>
      <x:c r="B1116" s="1" t="inlineStr">
        <x:is>
          <x:t xml:space="preserve">Round2</x:t>
        </x:is>
      </x:c>
      <x:c r="C1116" s="1" t="inlineStr">
        <x:is>
          <x:t xml:space="preserve">Collections_16</x:t>
        </x:is>
      </x:c>
      <x:c r="D1116" s="1" t="inlineStr">
        <x:is>
          <x:t xml:space="preserve">NOT_AVAILABLE</x:t>
        </x:is>
      </x:c>
      <x:c r="E1116" s="5"/>
      <x:c r="F1116" s="4">
        <x:v>0</x:v>
      </x:c>
      <x:c r="G1116" s="4">
        <x:v>5780</x:v>
      </x:c>
      <x:c r="H1116" s="6">
        <x:v>20.78</x:v>
      </x:c>
      <x:c r="I1116" s="16">
        <x:v>1</x:v>
      </x:c>
      <x:c r="J1116"/>
      <x:c r="K1116" s="4"/>
      <x:c r="L1116" s="4"/>
      <x:c r="M1116" s="4"/>
      <x:c r="N1116" s="5"/>
    </x:row>
    <x:row r="1117" ht="24" customHeight="1">
      <x:c r="A1117" s="1" t="inlineStr">
        <x:is>
          <x:t xml:space="preserve">RESULT</x:t>
        </x:is>
      </x:c>
      <x:c r="B1117" s="1" t="inlineStr">
        <x:is>
          <x:t xml:space="preserve">Round2</x:t>
        </x:is>
      </x:c>
      <x:c r="C1117" s="1" t="inlineStr">
        <x:is>
          <x:t xml:space="preserve">Collections_17</x:t>
        </x:is>
      </x:c>
      <x:c r="D1117" s="1" t="inlineStr">
        <x:is>
          <x:t xml:space="preserve">NOT_AVAILABLE</x:t>
        </x:is>
      </x:c>
      <x:c r="E1117" s="5"/>
      <x:c r="F1117" s="4">
        <x:v>0</x:v>
      </x:c>
      <x:c r="G1117" s="4">
        <x:v>3715</x:v>
      </x:c>
      <x:c r="H1117" s="6">
        <x:v>16.67</x:v>
      </x:c>
      <x:c r="I1117" s="16">
        <x:v>1</x:v>
      </x:c>
      <x:c r="J1117"/>
      <x:c r="K1117" s="4"/>
      <x:c r="L1117" s="4"/>
      <x:c r="M1117" s="4"/>
      <x:c r="N1117" s="5"/>
    </x:row>
    <x:row r="1118" ht="24" customHeight="1">
      <x:c r="A1118" s="1" t="inlineStr">
        <x:is>
          <x:t xml:space="preserve">RESULT</x:t>
        </x:is>
      </x:c>
      <x:c r="B1118" s="1" t="inlineStr">
        <x:is>
          <x:t xml:space="preserve">Round2</x:t>
        </x:is>
      </x:c>
      <x:c r="C1118" s="1" t="inlineStr">
        <x:is>
          <x:t xml:space="preserve">Collections_18</x:t>
        </x:is>
      </x:c>
      <x:c r="D1118" s="1" t="inlineStr">
        <x:is>
          <x:t xml:space="preserve">INCONCLUSIVE</x:t>
        </x:is>
      </x:c>
      <x:c r="E1118" s="5">
        <x:v>0.9031999999999999</x:v>
      </x:c>
      <x:c r="F1118" s="4">
        <x:v>0</x:v>
      </x:c>
      <x:c r="G1118" s="4">
        <x:v>6547</x:v>
      </x:c>
      <x:c r="H1118" s="6">
        <x:v>21.11</x:v>
      </x:c>
      <x:c r="I1118" s="16">
        <x:v>1</x:v>
      </x:c>
      <x:c r="J1118">
        <x:v>93</x:v>
      </x:c>
      <x:c r="K1118" s="4">
        <x:v>84</x:v>
      </x:c>
      <x:c r="L1118" s="4">
        <x:v>36</x:v>
      </x:c>
      <x:c r="M1118" s="4">
        <x:v>34</x:v>
      </x:c>
      <x:c r="N1118" s="5">
        <x:v>0.9444</x:v>
      </x:c>
    </x:row>
    <x:row r="1119" ht="24" customHeight="1">
      <x:c r="A1119" s="1" t="inlineStr">
        <x:is>
          <x:t xml:space="preserve">RESULT</x:t>
        </x:is>
      </x:c>
      <x:c r="B1119" s="1" t="inlineStr">
        <x:is>
          <x:t xml:space="preserve">Round2</x:t>
        </x:is>
      </x:c>
      <x:c r="C1119" s="1" t="inlineStr">
        <x:is>
          <x:t xml:space="preserve">Collections_19</x:t>
        </x:is>
      </x:c>
      <x:c r="D1119" s="1" t="inlineStr">
        <x:is>
          <x:t xml:space="preserve">NOT_REVEALING</x:t>
        </x:is>
      </x:c>
      <x:c r="E1119" s="5">
        <x:v>0.9358</x:v>
      </x:c>
      <x:c r="F1119" s="4">
        <x:v>0</x:v>
      </x:c>
      <x:c r="G1119" s="4">
        <x:v>6508</x:v>
      </x:c>
      <x:c r="H1119" s="6">
        <x:v>22.66</x:v>
      </x:c>
      <x:c r="I1119" s="16">
        <x:v>1</x:v>
      </x:c>
      <x:c r="J1119">
        <x:v>109</x:v>
      </x:c>
      <x:c r="K1119" s="4">
        <x:v>102</x:v>
      </x:c>
      <x:c r="L1119" s="4">
        <x:v>38</x:v>
      </x:c>
      <x:c r="M1119" s="4">
        <x:v>35</x:v>
      </x:c>
      <x:c r="N1119" s="5">
        <x:v>0.9211</x:v>
      </x:c>
    </x:row>
    <x:row r="1120" ht="24" customHeight="1">
      <x:c r="A1120" s="1" t="inlineStr">
        <x:is>
          <x:t xml:space="preserve">RESULT</x:t>
        </x:is>
      </x:c>
      <x:c r="B1120" s="1" t="inlineStr">
        <x:is>
          <x:t xml:space="preserve">Round2</x:t>
        </x:is>
      </x:c>
      <x:c r="C1120" s="1" t="inlineStr">
        <x:is>
          <x:t xml:space="preserve">Collections_2</x:t>
        </x:is>
      </x:c>
      <x:c r="D1120" s="1" t="inlineStr">
        <x:is>
          <x:t xml:space="preserve">NOT_AVAILABLE</x:t>
        </x:is>
      </x:c>
      <x:c r="E1120" s="5"/>
      <x:c r="F1120" s="4">
        <x:v>0</x:v>
      </x:c>
      <x:c r="G1120" s="4">
        <x:v>12256</x:v>
      </x:c>
      <x:c r="H1120" s="6">
        <x:v>43.07</x:v>
      </x:c>
      <x:c r="I1120" s="16">
        <x:v>1</x:v>
      </x:c>
      <x:c r="J1120"/>
      <x:c r="K1120" s="4"/>
      <x:c r="L1120" s="4"/>
      <x:c r="M1120" s="4"/>
      <x:c r="N1120" s="5"/>
    </x:row>
    <x:row r="1121" ht="24" customHeight="1">
      <x:c r="A1121" s="1" t="inlineStr">
        <x:is>
          <x:t xml:space="preserve">RESULT</x:t>
        </x:is>
      </x:c>
      <x:c r="B1121" s="1" t="inlineStr">
        <x:is>
          <x:t xml:space="preserve">Round2</x:t>
        </x:is>
      </x:c>
      <x:c r="C1121" s="1" t="inlineStr">
        <x:is>
          <x:t xml:space="preserve">Collections_20</x:t>
        </x:is>
      </x:c>
      <x:c r="D1121" s="1" t="inlineStr">
        <x:is>
          <x:t xml:space="preserve">INCONCLUSIVE</x:t>
        </x:is>
      </x:c>
      <x:c r="E1121" s="5">
        <x:v>0.8123</x:v>
      </x:c>
      <x:c r="F1121" s="4">
        <x:v>0</x:v>
      </x:c>
      <x:c r="G1121" s="4"/>
      <x:c r="H1121" s="6"/>
      <x:c r="I1121" s="16">
        <x:v>1</x:v>
      </x:c>
      <x:c r="J1121">
        <x:v>293</x:v>
      </x:c>
      <x:c r="K1121" s="4">
        <x:v>238</x:v>
      </x:c>
      <x:c r="L1121" s="4">
        <x:v>154</x:v>
      </x:c>
      <x:c r="M1121" s="4">
        <x:v>106</x:v>
      </x:c>
      <x:c r="N1121" s="5">
        <x:v>0.6883</x:v>
      </x:c>
    </x:row>
    <x:row r="1122" ht="24" customHeight="1">
      <x:c r="A1122" s="1" t="inlineStr">
        <x:is>
          <x:t xml:space="preserve">RESULT</x:t>
        </x:is>
      </x:c>
      <x:c r="B1122" s="1" t="inlineStr">
        <x:is>
          <x:t xml:space="preserve">Round2</x:t>
        </x:is>
      </x:c>
      <x:c r="C1122" s="1" t="inlineStr">
        <x:is>
          <x:t xml:space="preserve">Collections_21</x:t>
        </x:is>
      </x:c>
      <x:c r="D1122" s="1" t="inlineStr">
        <x:is>
          <x:t xml:space="preserve">NOT_REVEALING</x:t>
        </x:is>
      </x:c>
      <x:c r="E1122" s="5">
        <x:v>0.9358</x:v>
      </x:c>
      <x:c r="F1122" s="4">
        <x:v>0</x:v>
      </x:c>
      <x:c r="G1122" s="4"/>
      <x:c r="H1122" s="6"/>
      <x:c r="I1122" s="16">
        <x:v>1</x:v>
      </x:c>
      <x:c r="J1122">
        <x:v>109</x:v>
      </x:c>
      <x:c r="K1122" s="4">
        <x:v>102</x:v>
      </x:c>
      <x:c r="L1122" s="4">
        <x:v>38</x:v>
      </x:c>
      <x:c r="M1122" s="4">
        <x:v>36</x:v>
      </x:c>
      <x:c r="N1122" s="5">
        <x:v>0.9473999999999999</x:v>
      </x:c>
    </x:row>
    <x:row r="1123" ht="24" customHeight="1">
      <x:c r="A1123" s="1" t="inlineStr">
        <x:is>
          <x:t xml:space="preserve">RESULT</x:t>
        </x:is>
      </x:c>
      <x:c r="B1123" s="1" t="inlineStr">
        <x:is>
          <x:t xml:space="preserve">Round2</x:t>
        </x:is>
      </x:c>
      <x:c r="C1123" s="1" t="inlineStr">
        <x:is>
          <x:t xml:space="preserve">Collections_22</x:t>
        </x:is>
      </x:c>
      <x:c r="D1123" s="1" t="inlineStr">
        <x:is>
          <x:t xml:space="preserve">NOT_REVEALING</x:t>
        </x:is>
      </x:c>
      <x:c r="E1123" s="5">
        <x:v>0.4667</x:v>
      </x:c>
      <x:c r="F1123" s="4">
        <x:v>0</x:v>
      </x:c>
      <x:c r="G1123" s="4">
        <x:v>5930</x:v>
      </x:c>
      <x:c r="H1123" s="6">
        <x:v>16.49</x:v>
      </x:c>
      <x:c r="I1123" s="16">
        <x:v>1</x:v>
      </x:c>
      <x:c r="J1123">
        <x:v>195</x:v>
      </x:c>
      <x:c r="K1123" s="4">
        <x:v>91</x:v>
      </x:c>
      <x:c r="L1123" s="4">
        <x:v>52</x:v>
      </x:c>
      <x:c r="M1123" s="4">
        <x:v>27</x:v>
      </x:c>
      <x:c r="N1123" s="5">
        <x:v>0.5192</x:v>
      </x:c>
    </x:row>
    <x:row r="1124" ht="24" customHeight="1">
      <x:c r="A1124" s="1" t="inlineStr">
        <x:is>
          <x:t xml:space="preserve">RESULT</x:t>
        </x:is>
      </x:c>
      <x:c r="B1124" s="1" t="inlineStr">
        <x:is>
          <x:t xml:space="preserve">Round2</x:t>
        </x:is>
      </x:c>
      <x:c r="C1124" s="1" t="inlineStr">
        <x:is>
          <x:t xml:space="preserve">Collections_23</x:t>
        </x:is>
      </x:c>
      <x:c r="D1124" s="1" t="inlineStr">
        <x:is>
          <x:t xml:space="preserve">NOT_AVAILABLE</x:t>
        </x:is>
      </x:c>
      <x:c r="E1124" s="5"/>
      <x:c r="F1124" s="4">
        <x:v>0</x:v>
      </x:c>
      <x:c r="G1124" s="4">
        <x:v>4605</x:v>
      </x:c>
      <x:c r="H1124" s="6">
        <x:v>16.5</x:v>
      </x:c>
      <x:c r="I1124" s="16">
        <x:v>1</x:v>
      </x:c>
      <x:c r="J1124"/>
      <x:c r="K1124" s="4"/>
      <x:c r="L1124" s="4"/>
      <x:c r="M1124" s="4"/>
      <x:c r="N1124" s="5"/>
    </x:row>
    <x:row r="1125" ht="24" customHeight="1">
      <x:c r="A1125" s="1" t="inlineStr">
        <x:is>
          <x:t xml:space="preserve">RESULT</x:t>
        </x:is>
      </x:c>
      <x:c r="B1125" s="1" t="inlineStr">
        <x:is>
          <x:t xml:space="preserve">Round2</x:t>
        </x:is>
      </x:c>
      <x:c r="C1125" s="1" t="inlineStr">
        <x:is>
          <x:t xml:space="preserve">Collections_24</x:t>
        </x:is>
      </x:c>
      <x:c r="D1125" s="1" t="inlineStr">
        <x:is>
          <x:t xml:space="preserve">NOT_REVEALING</x:t>
        </x:is>
      </x:c>
      <x:c r="E1125" s="5">
        <x:v>0.9615</x:v>
      </x:c>
      <x:c r="F1125" s="4">
        <x:v>0</x:v>
      </x:c>
      <x:c r="G1125" s="4"/>
      <x:c r="H1125" s="6"/>
      <x:c r="I1125" s="16">
        <x:v>1</x:v>
      </x:c>
      <x:c r="J1125">
        <x:v>26</x:v>
      </x:c>
      <x:c r="K1125" s="4">
        <x:v>25</x:v>
      </x:c>
      <x:c r="L1125" s="4">
        <x:v>12</x:v>
      </x:c>
      <x:c r="M1125" s="4">
        <x:v>12</x:v>
      </x:c>
      <x:c r="N1125" s="5">
        <x:v>1.0</x:v>
      </x:c>
    </x:row>
    <x:row r="1126" ht="24" customHeight="1">
      <x:c r="A1126" s="1" t="inlineStr">
        <x:is>
          <x:t xml:space="preserve">RESULT</x:t>
        </x:is>
      </x:c>
      <x:c r="B1126" s="1" t="inlineStr">
        <x:is>
          <x:t xml:space="preserve">Round2</x:t>
        </x:is>
      </x:c>
      <x:c r="C1126" s="1" t="inlineStr">
        <x:is>
          <x:t xml:space="preserve">Collections_25</x:t>
        </x:is>
      </x:c>
      <x:c r="D1126" s="1" t="inlineStr">
        <x:is>
          <x:t xml:space="preserve">NOT_AVAILABLE</x:t>
        </x:is>
      </x:c>
      <x:c r="E1126" s="5"/>
      <x:c r="F1126" s="4">
        <x:v>0</x:v>
      </x:c>
      <x:c r="G1126" s="4">
        <x:v>10632</x:v>
      </x:c>
      <x:c r="H1126" s="6">
        <x:v>37.5</x:v>
      </x:c>
      <x:c r="I1126" s="16">
        <x:v>1</x:v>
      </x:c>
      <x:c r="J1126"/>
      <x:c r="K1126" s="4"/>
      <x:c r="L1126" s="4"/>
      <x:c r="M1126" s="4"/>
      <x:c r="N1126" s="5"/>
    </x:row>
    <x:row r="1127" ht="24" customHeight="1">
      <x:c r="A1127" s="1" t="inlineStr">
        <x:is>
          <x:t xml:space="preserve">RESULT</x:t>
        </x:is>
      </x:c>
      <x:c r="B1127" s="1" t="inlineStr">
        <x:is>
          <x:t xml:space="preserve">Round2</x:t>
        </x:is>
      </x:c>
      <x:c r="C1127" s="1" t="inlineStr">
        <x:is>
          <x:t xml:space="preserve">Collections_26</x:t>
        </x:is>
      </x:c>
      <x:c r="D1127" s="1" t="inlineStr">
        <x:is>
          <x:t xml:space="preserve">NOT_REVEALING</x:t>
        </x:is>
      </x:c>
      <x:c r="E1127" s="5">
        <x:v>0.9459000000000001</x:v>
      </x:c>
      <x:c r="F1127" s="4">
        <x:v>0</x:v>
      </x:c>
      <x:c r="G1127" s="4"/>
      <x:c r="H1127" s="6"/>
      <x:c r="I1127" s="16">
        <x:v>1</x:v>
      </x:c>
      <x:c r="J1127">
        <x:v>37</x:v>
      </x:c>
      <x:c r="K1127" s="4">
        <x:v>35</x:v>
      </x:c>
      <x:c r="L1127" s="4">
        <x:v>12</x:v>
      </x:c>
      <x:c r="M1127" s="4">
        <x:v>12</x:v>
      </x:c>
      <x:c r="N1127" s="5">
        <x:v>1.0</x:v>
      </x:c>
    </x:row>
    <x:row r="1128" ht="24" customHeight="1">
      <x:c r="A1128" s="1" t="inlineStr">
        <x:is>
          <x:t xml:space="preserve">RESULT</x:t>
        </x:is>
      </x:c>
      <x:c r="B1128" s="1" t="inlineStr">
        <x:is>
          <x:t xml:space="preserve">Round2</x:t>
        </x:is>
      </x:c>
      <x:c r="C1128" s="1" t="inlineStr">
        <x:is>
          <x:t xml:space="preserve">Collections_27</x:t>
        </x:is>
      </x:c>
      <x:c r="D1128" s="1" t="inlineStr">
        <x:is>
          <x:t xml:space="preserve">INCONCLUSIVE</x:t>
        </x:is>
      </x:c>
      <x:c r="E1128" s="5">
        <x:v>0.8583</x:v>
      </x:c>
      <x:c r="F1128" s="4">
        <x:v>0</x:v>
      </x:c>
      <x:c r="G1128" s="4"/>
      <x:c r="H1128" s="6"/>
      <x:c r="I1128" s="16">
        <x:v>1</x:v>
      </x:c>
      <x:c r="J1128">
        <x:v>127</x:v>
      </x:c>
      <x:c r="K1128" s="4">
        <x:v>109</x:v>
      </x:c>
      <x:c r="L1128" s="4">
        <x:v>50</x:v>
      </x:c>
      <x:c r="M1128" s="4">
        <x:v>41</x:v>
      </x:c>
      <x:c r="N1128" s="5">
        <x:v>0.82</x:v>
      </x:c>
    </x:row>
    <x:row r="1129" ht="24" customHeight="1">
      <x:c r="A1129" s="1" t="inlineStr">
        <x:is>
          <x:t xml:space="preserve">RESULT</x:t>
        </x:is>
      </x:c>
      <x:c r="B1129" s="1" t="inlineStr">
        <x:is>
          <x:t xml:space="preserve">Round2</x:t>
        </x:is>
      </x:c>
      <x:c r="C1129" s="1" t="inlineStr">
        <x:is>
          <x:t xml:space="preserve">Collections_28</x:t>
        </x:is>
      </x:c>
      <x:c r="D1129" s="1" t="inlineStr">
        <x:is>
          <x:t xml:space="preserve">NOT_AVAILABLE</x:t>
        </x:is>
      </x:c>
      <x:c r="E1129" s="5"/>
      <x:c r="F1129" s="4">
        <x:v>0</x:v>
      </x:c>
      <x:c r="G1129" s="4">
        <x:v>16331</x:v>
      </x:c>
      <x:c r="H1129" s="6">
        <x:v>31.69</x:v>
      </x:c>
      <x:c r="I1129" s="16">
        <x:v>1</x:v>
      </x:c>
      <x:c r="J1129"/>
      <x:c r="K1129" s="4"/>
      <x:c r="L1129" s="4"/>
      <x:c r="M1129" s="4"/>
      <x:c r="N1129" s="5"/>
    </x:row>
    <x:row r="1130" ht="24" customHeight="1">
      <x:c r="A1130" s="1" t="inlineStr">
        <x:is>
          <x:t xml:space="preserve">RESULT</x:t>
        </x:is>
      </x:c>
      <x:c r="B1130" s="1" t="inlineStr">
        <x:is>
          <x:t xml:space="preserve">Round2</x:t>
        </x:is>
      </x:c>
      <x:c r="C1130" s="1" t="inlineStr">
        <x:is>
          <x:t xml:space="preserve">Collections_3</x:t>
        </x:is>
      </x:c>
      <x:c r="D1130" s="1" t="inlineStr">
        <x:is>
          <x:t xml:space="preserve">NOT_AVAILABLE</x:t>
        </x:is>
      </x:c>
      <x:c r="E1130" s="5"/>
      <x:c r="F1130" s="4">
        <x:v>0</x:v>
      </x:c>
      <x:c r="G1130" s="4">
        <x:v>10325</x:v>
      </x:c>
      <x:c r="H1130" s="6">
        <x:v>45.28</x:v>
      </x:c>
      <x:c r="I1130" s="16">
        <x:v>1</x:v>
      </x:c>
      <x:c r="J1130"/>
      <x:c r="K1130" s="4"/>
      <x:c r="L1130" s="4"/>
      <x:c r="M1130" s="4"/>
      <x:c r="N1130" s="5"/>
    </x:row>
    <x:row r="1131" ht="24" customHeight="1">
      <x:c r="A1131" s="1" t="inlineStr">
        <x:is>
          <x:t xml:space="preserve">RESULT</x:t>
        </x:is>
      </x:c>
      <x:c r="B1131" s="1" t="inlineStr">
        <x:is>
          <x:t xml:space="preserve">Round2</x:t>
        </x:is>
      </x:c>
      <x:c r="C1131" s="1" t="inlineStr">
        <x:is>
          <x:t xml:space="preserve">Collections_4</x:t>
        </x:is>
      </x:c>
      <x:c r="D1131" s="1" t="inlineStr">
        <x:is>
          <x:t xml:space="preserve">INCONCLUSIVE</x:t>
        </x:is>
      </x:c>
      <x:c r="E1131" s="5">
        <x:v>0.9279000000000001</x:v>
      </x:c>
      <x:c r="F1131" s="4">
        <x:v>0</x:v>
      </x:c>
      <x:c r="G1131" s="4">
        <x:v>6832</x:v>
      </x:c>
      <x:c r="H1131" s="6">
        <x:v>26.34</x:v>
      </x:c>
      <x:c r="I1131" s="16">
        <x:v>1</x:v>
      </x:c>
      <x:c r="J1131">
        <x:v>111</x:v>
      </x:c>
      <x:c r="K1131" s="4">
        <x:v>103</x:v>
      </x:c>
      <x:c r="L1131" s="4">
        <x:v>48</x:v>
      </x:c>
      <x:c r="M1131" s="4">
        <x:v>41</x:v>
      </x:c>
      <x:c r="N1131" s="5">
        <x:v>0.8542000000000001</x:v>
      </x:c>
    </x:row>
    <x:row r="1132" ht="24" customHeight="1">
      <x:c r="A1132" s="1" t="inlineStr">
        <x:is>
          <x:t xml:space="preserve">RESULT</x:t>
        </x:is>
      </x:c>
      <x:c r="B1132" s="1" t="inlineStr">
        <x:is>
          <x:t xml:space="preserve">Round2</x:t>
        </x:is>
      </x:c>
      <x:c r="C1132" s="1" t="inlineStr">
        <x:is>
          <x:t xml:space="preserve">Collections_5</x:t>
        </x:is>
      </x:c>
      <x:c r="D1132" s="1" t="inlineStr">
        <x:is>
          <x:t xml:space="preserve">INCONCLUSIVE</x:t>
        </x:is>
      </x:c>
      <x:c r="E1132" s="5">
        <x:v>0.9878</x:v>
      </x:c>
      <x:c r="F1132" s="4">
        <x:v>0</x:v>
      </x:c>
      <x:c r="G1132" s="4"/>
      <x:c r="H1132" s="6"/>
      <x:c r="I1132" s="16">
        <x:v>1</x:v>
      </x:c>
      <x:c r="J1132">
        <x:v>82</x:v>
      </x:c>
      <x:c r="K1132" s="4">
        <x:v>81</x:v>
      </x:c>
      <x:c r="L1132" s="4">
        <x:v>20</x:v>
      </x:c>
      <x:c r="M1132" s="4">
        <x:v>19</x:v>
      </x:c>
      <x:c r="N1132" s="5">
        <x:v>0.95</x:v>
      </x:c>
    </x:row>
    <x:row r="1133" ht="24" customHeight="1">
      <x:c r="A1133" s="1" t="inlineStr">
        <x:is>
          <x:t xml:space="preserve">RESULT</x:t>
        </x:is>
      </x:c>
      <x:c r="B1133" s="1" t="inlineStr">
        <x:is>
          <x:t xml:space="preserve">Round2</x:t>
        </x:is>
      </x:c>
      <x:c r="C1133" s="1" t="inlineStr">
        <x:is>
          <x:t xml:space="preserve">Collections_6</x:t>
        </x:is>
      </x:c>
      <x:c r="D1133" s="1" t="inlineStr">
        <x:is>
          <x:t xml:space="preserve">REVEALING</x:t>
        </x:is>
      </x:c>
      <x:c r="E1133" s="5">
        <x:v>0.5919</x:v>
      </x:c>
      <x:c r="F1133" s="4">
        <x:v>1</x:v>
      </x:c>
      <x:c r="G1133" s="4"/>
      <x:c r="H1133" s="6"/>
      <x:c r="I1133" s="16">
        <x:v>1</x:v>
      </x:c>
      <x:c r="J1133">
        <x:v>495</x:v>
      </x:c>
      <x:c r="K1133" s="4">
        <x:v>293</x:v>
      </x:c>
      <x:c r="L1133" s="4">
        <x:v>376</x:v>
      </x:c>
      <x:c r="M1133" s="4">
        <x:v>193</x:v>
      </x:c>
      <x:c r="N1133" s="5">
        <x:v>0.5133</x:v>
      </x:c>
    </x:row>
    <x:row r="1134" ht="24" customHeight="1">
      <x:c r="A1134" s="1" t="inlineStr">
        <x:is>
          <x:t xml:space="preserve">RESULT</x:t>
        </x:is>
      </x:c>
      <x:c r="B1134" s="1" t="inlineStr">
        <x:is>
          <x:t xml:space="preserve">Round2</x:t>
        </x:is>
      </x:c>
      <x:c r="C1134" s="1" t="inlineStr">
        <x:is>
          <x:t xml:space="preserve">Collections_7</x:t>
        </x:is>
      </x:c>
      <x:c r="D1134" s="1" t="inlineStr">
        <x:is>
          <x:t xml:space="preserve">NOT_AVAILABLE</x:t>
        </x:is>
      </x:c>
      <x:c r="E1134" s="5"/>
      <x:c r="F1134" s="4">
        <x:v>0</x:v>
      </x:c>
      <x:c r="G1134" s="4">
        <x:v>11995</x:v>
      </x:c>
      <x:c r="H1134" s="6">
        <x:v>58.26</x:v>
      </x:c>
      <x:c r="I1134" s="16">
        <x:v>1</x:v>
      </x:c>
      <x:c r="J1134"/>
      <x:c r="K1134" s="4"/>
      <x:c r="L1134" s="4"/>
      <x:c r="M1134" s="4"/>
      <x:c r="N1134" s="5"/>
    </x:row>
    <x:row r="1135" ht="24" customHeight="1">
      <x:c r="A1135" s="1" t="inlineStr">
        <x:is>
          <x:t xml:space="preserve">RESULT</x:t>
        </x:is>
      </x:c>
      <x:c r="B1135" s="1" t="inlineStr">
        <x:is>
          <x:t xml:space="preserve">Round2</x:t>
        </x:is>
      </x:c>
      <x:c r="C1135" s="1" t="inlineStr">
        <x:is>
          <x:t xml:space="preserve">Collections_8</x:t>
        </x:is>
      </x:c>
      <x:c r="D1135" s="1" t="inlineStr">
        <x:is>
          <x:t xml:space="preserve">NOT_REVEALING</x:t>
        </x:is>
      </x:c>
      <x:c r="E1135" s="5">
        <x:v>0.8409</x:v>
      </x:c>
      <x:c r="F1135" s="4">
        <x:v>0</x:v>
      </x:c>
      <x:c r="G1135" s="4">
        <x:v>5932</x:v>
      </x:c>
      <x:c r="H1135" s="6">
        <x:v>27.64</x:v>
      </x:c>
      <x:c r="I1135" s="16">
        <x:v>1</x:v>
      </x:c>
      <x:c r="J1135">
        <x:v>88</x:v>
      </x:c>
      <x:c r="K1135" s="4">
        <x:v>74</x:v>
      </x:c>
      <x:c r="L1135" s="4">
        <x:v>36</x:v>
      </x:c>
      <x:c r="M1135" s="4">
        <x:v>30</x:v>
      </x:c>
      <x:c r="N1135" s="5">
        <x:v>0.8332999999999999</x:v>
      </x:c>
    </x:row>
    <x:row r="1136" ht="24" customHeight="1">
      <x:c r="A1136" s="1" t="inlineStr">
        <x:is>
          <x:t xml:space="preserve">RESULT</x:t>
        </x:is>
      </x:c>
      <x:c r="B1136" s="1" t="inlineStr">
        <x:is>
          <x:t xml:space="preserve">Round2</x:t>
        </x:is>
      </x:c>
      <x:c r="C1136" s="1" t="inlineStr">
        <x:is>
          <x:t xml:space="preserve">Collections_9</x:t>
        </x:is>
      </x:c>
      <x:c r="D1136" s="1" t="inlineStr">
        <x:is>
          <x:t xml:space="preserve">NOT_AVAILABLE</x:t>
        </x:is>
      </x:c>
      <x:c r="E1136" s="5"/>
      <x:c r="F1136" s="4">
        <x:v>0</x:v>
      </x:c>
      <x:c r="G1136" s="4">
        <x:v>10265</x:v>
      </x:c>
      <x:c r="H1136" s="6">
        <x:v>28.5</x:v>
      </x:c>
      <x:c r="I1136" s="16">
        <x:v>1</x:v>
      </x:c>
      <x:c r="J1136"/>
      <x:c r="K1136" s="4"/>
      <x:c r="L1136" s="4"/>
      <x:c r="M1136" s="4"/>
      <x:c r="N1136" s="5"/>
    </x:row>
    <x:row r="1137" ht="24" customHeight="1">
      <x:c r="A1137" s="1" t="inlineStr">
        <x:is>
          <x:t xml:space="preserve">RESULT</x:t>
        </x:is>
      </x:c>
      <x:c r="B1137" s="1" t="inlineStr">
        <x:is>
          <x:t xml:space="preserve">Round2</x:t>
        </x:is>
      </x:c>
      <x:c r="C1137" s="1" t="inlineStr">
        <x:is>
          <x:t xml:space="preserve">Compress_1</x:t>
        </x:is>
      </x:c>
      <x:c r="D1137" s="1" t="inlineStr">
        <x:is>
          <x:t xml:space="preserve">NOT_AVAILABLE</x:t>
        </x:is>
      </x:c>
      <x:c r="E1137" s="5"/>
      <x:c r="F1137" s="4">
        <x:v>0</x:v>
      </x:c>
      <x:c r="G1137" s="4">
        <x:v>6364</x:v>
      </x:c>
      <x:c r="H1137" s="6">
        <x:v>19.12</x:v>
      </x:c>
      <x:c r="I1137" s="16">
        <x:v>1</x:v>
      </x:c>
      <x:c r="J1137"/>
      <x:c r="K1137" s="4"/>
      <x:c r="L1137" s="4"/>
      <x:c r="M1137" s="4"/>
      <x:c r="N1137" s="5"/>
    </x:row>
    <x:row r="1138" ht="24" customHeight="1">
      <x:c r="A1138" s="1" t="inlineStr">
        <x:is>
          <x:t xml:space="preserve">RESULT</x:t>
        </x:is>
      </x:c>
      <x:c r="B1138" s="1" t="inlineStr">
        <x:is>
          <x:t xml:space="preserve">Round2</x:t>
        </x:is>
      </x:c>
      <x:c r="C1138" s="1" t="inlineStr">
        <x:is>
          <x:t xml:space="preserve">Compress_10</x:t>
        </x:is>
      </x:c>
      <x:c r="D1138" s="1" t="inlineStr">
        <x:is>
          <x:t xml:space="preserve">INCONCLUSIVE</x:t>
        </x:is>
      </x:c>
      <x:c r="E1138" s="5">
        <x:v>0.6809000000000001</x:v>
      </x:c>
      <x:c r="F1138" s="4">
        <x:v>0</x:v>
      </x:c>
      <x:c r="G1138" s="4">
        <x:v>7003</x:v>
      </x:c>
      <x:c r="H1138" s="6">
        <x:v>11.33</x:v>
      </x:c>
      <x:c r="I1138" s="16">
        <x:v>1</x:v>
      </x:c>
      <x:c r="J1138">
        <x:v>304</x:v>
      </x:c>
      <x:c r="K1138" s="4">
        <x:v>207</x:v>
      </x:c>
      <x:c r="L1138" s="4">
        <x:v>113</x:v>
      </x:c>
      <x:c r="M1138" s="4">
        <x:v>39</x:v>
      </x:c>
      <x:c r="N1138" s="5">
        <x:v>0.34509999999999996</x:v>
      </x:c>
    </x:row>
    <x:row r="1139" ht="24" customHeight="1">
      <x:c r="A1139" s="1" t="inlineStr">
        <x:is>
          <x:t xml:space="preserve">RESULT</x:t>
        </x:is>
      </x:c>
      <x:c r="B1139" s="1" t="inlineStr">
        <x:is>
          <x:t xml:space="preserve">Round2</x:t>
        </x:is>
      </x:c>
      <x:c r="C1139" s="1" t="inlineStr">
        <x:is>
          <x:t xml:space="preserve">Compress_11</x:t>
        </x:is>
      </x:c>
      <x:c r="D1139" s="1" t="inlineStr">
        <x:is>
          <x:t xml:space="preserve">INCONCLUSIVE</x:t>
        </x:is>
      </x:c>
      <x:c r="E1139" s="5">
        <x:v>0.7681</x:v>
      </x:c>
      <x:c r="F1139" s="4">
        <x:v>0</x:v>
      </x:c>
      <x:c r="G1139" s="4">
        <x:v>4865</x:v>
      </x:c>
      <x:c r="H1139" s="6">
        <x:v>8.13</x:v>
      </x:c>
      <x:c r="I1139" s="16">
        <x:v>1</x:v>
      </x:c>
      <x:c r="J1139">
        <x:v>69</x:v>
      </x:c>
      <x:c r="K1139" s="4">
        <x:v>53</x:v>
      </x:c>
      <x:c r="L1139" s="4">
        <x:v>46</x:v>
      </x:c>
      <x:c r="M1139" s="4">
        <x:v>33</x:v>
      </x:c>
      <x:c r="N1139" s="5">
        <x:v>0.7173999999999999</x:v>
      </x:c>
    </x:row>
    <x:row r="1140" ht="24" customHeight="1">
      <x:c r="A1140" s="1" t="inlineStr">
        <x:is>
          <x:t xml:space="preserve">RESULT</x:t>
        </x:is>
      </x:c>
      <x:c r="B1140" s="1" t="inlineStr">
        <x:is>
          <x:t xml:space="preserve">Round2</x:t>
        </x:is>
      </x:c>
      <x:c r="C1140" s="1" t="inlineStr">
        <x:is>
          <x:t xml:space="preserve">Compress_12</x:t>
        </x:is>
      </x:c>
      <x:c r="D1140" s="1" t="inlineStr">
        <x:is>
          <x:t xml:space="preserve">NOT_AVAILABLE</x:t>
        </x:is>
      </x:c>
      <x:c r="E1140" s="5"/>
      <x:c r="F1140" s="4">
        <x:v>0</x:v>
      </x:c>
      <x:c r="G1140" s="4">
        <x:v>8811</x:v>
      </x:c>
      <x:c r="H1140" s="6">
        <x:v>35.67</x:v>
      </x:c>
      <x:c r="I1140" s="16">
        <x:v>1</x:v>
      </x:c>
      <x:c r="J1140"/>
      <x:c r="K1140" s="4"/>
      <x:c r="L1140" s="4"/>
      <x:c r="M1140" s="4"/>
      <x:c r="N1140" s="5"/>
    </x:row>
    <x:row r="1141" ht="24" customHeight="1">
      <x:c r="A1141" s="1" t="inlineStr">
        <x:is>
          <x:t xml:space="preserve">RESULT</x:t>
        </x:is>
      </x:c>
      <x:c r="B1141" s="1" t="inlineStr">
        <x:is>
          <x:t xml:space="preserve">Round2</x:t>
        </x:is>
      </x:c>
      <x:c r="C1141" s="1" t="inlineStr">
        <x:is>
          <x:t xml:space="preserve">Compress_13</x:t>
        </x:is>
      </x:c>
      <x:c r="D1141" s="1" t="inlineStr">
        <x:is>
          <x:t xml:space="preserve">NOT_AVAILABLE</x:t>
        </x:is>
      </x:c>
      <x:c r="E1141" s="5"/>
      <x:c r="F1141" s="4">
        <x:v>0</x:v>
      </x:c>
      <x:c r="G1141" s="4">
        <x:v>9325</x:v>
      </x:c>
      <x:c r="H1141" s="6">
        <x:v>28.03</x:v>
      </x:c>
      <x:c r="I1141" s="16">
        <x:v>1</x:v>
      </x:c>
      <x:c r="J1141"/>
      <x:c r="K1141" s="4"/>
      <x:c r="L1141" s="4"/>
      <x:c r="M1141" s="4"/>
      <x:c r="N1141" s="5"/>
    </x:row>
    <x:row r="1142" ht="24" customHeight="1">
      <x:c r="A1142" s="1" t="inlineStr">
        <x:is>
          <x:t xml:space="preserve">RESULT</x:t>
        </x:is>
      </x:c>
      <x:c r="B1142" s="1" t="inlineStr">
        <x:is>
          <x:t xml:space="preserve">Round2</x:t>
        </x:is>
      </x:c>
      <x:c r="C1142" s="1" t="inlineStr">
        <x:is>
          <x:t xml:space="preserve">Compress_14</x:t>
        </x:is>
      </x:c>
      <x:c r="D1142" s="1" t="inlineStr">
        <x:is>
          <x:t xml:space="preserve">INCONCLUSIVE</x:t>
        </x:is>
      </x:c>
      <x:c r="E1142" s="5">
        <x:v>0.7228</x:v>
      </x:c>
      <x:c r="F1142" s="4">
        <x:v>0</x:v>
      </x:c>
      <x:c r="G1142" s="4"/>
      <x:c r="H1142" s="6"/>
      <x:c r="I1142" s="16">
        <x:v>1</x:v>
      </x:c>
      <x:c r="J1142">
        <x:v>101</x:v>
      </x:c>
      <x:c r="K1142" s="4">
        <x:v>73</x:v>
      </x:c>
      <x:c r="L1142" s="4">
        <x:v>66</x:v>
      </x:c>
      <x:c r="M1142" s="4">
        <x:v>47</x:v>
      </x:c>
      <x:c r="N1142" s="5">
        <x:v>0.7121</x:v>
      </x:c>
    </x:row>
    <x:row r="1143" ht="24" customHeight="1">
      <x:c r="A1143" s="1" t="inlineStr">
        <x:is>
          <x:t xml:space="preserve">RESULT</x:t>
        </x:is>
      </x:c>
      <x:c r="B1143" s="1" t="inlineStr">
        <x:is>
          <x:t xml:space="preserve">Round2</x:t>
        </x:is>
      </x:c>
      <x:c r="C1143" s="1" t="inlineStr">
        <x:is>
          <x:t xml:space="preserve">Compress_15</x:t>
        </x:is>
      </x:c>
      <x:c r="D1143" s="1" t="inlineStr">
        <x:is>
          <x:t xml:space="preserve">NOT_AVAILABLE</x:t>
        </x:is>
      </x:c>
      <x:c r="E1143" s="5"/>
      <x:c r="F1143" s="4">
        <x:v>0</x:v>
      </x:c>
      <x:c r="G1143" s="4">
        <x:v>5730</x:v>
      </x:c>
      <x:c r="H1143" s="6">
        <x:v>20.82</x:v>
      </x:c>
      <x:c r="I1143" s="16">
        <x:v>1</x:v>
      </x:c>
      <x:c r="J1143"/>
      <x:c r="K1143" s="4"/>
      <x:c r="L1143" s="4"/>
      <x:c r="M1143" s="4"/>
      <x:c r="N1143" s="5"/>
    </x:row>
    <x:row r="1144" ht="24" customHeight="1">
      <x:c r="A1144" s="1" t="inlineStr">
        <x:is>
          <x:t xml:space="preserve">RESULT</x:t>
        </x:is>
      </x:c>
      <x:c r="B1144" s="1" t="inlineStr">
        <x:is>
          <x:t xml:space="preserve">Round2</x:t>
        </x:is>
      </x:c>
      <x:c r="C1144" s="1" t="inlineStr">
        <x:is>
          <x:t xml:space="preserve">Compress_16</x:t>
        </x:is>
      </x:c>
      <x:c r="D1144" s="1" t="inlineStr">
        <x:is>
          <x:t xml:space="preserve">NOT_AVAILABLE</x:t>
        </x:is>
      </x:c>
      <x:c r="E1144" s="5"/>
      <x:c r="F1144" s="4">
        <x:v>0</x:v>
      </x:c>
      <x:c r="G1144" s="4">
        <x:v>5240</x:v>
      </x:c>
      <x:c r="H1144" s="6">
        <x:v>17.75</x:v>
      </x:c>
      <x:c r="I1144" s="16">
        <x:v>1</x:v>
      </x:c>
      <x:c r="J1144"/>
      <x:c r="K1144" s="4"/>
      <x:c r="L1144" s="4"/>
      <x:c r="M1144" s="4"/>
      <x:c r="N1144" s="5"/>
    </x:row>
    <x:row r="1145" ht="24" customHeight="1">
      <x:c r="A1145" s="1" t="inlineStr">
        <x:is>
          <x:t xml:space="preserve">RESULT</x:t>
        </x:is>
      </x:c>
      <x:c r="B1145" s="1" t="inlineStr">
        <x:is>
          <x:t xml:space="preserve">Round2</x:t>
        </x:is>
      </x:c>
      <x:c r="C1145" s="1" t="inlineStr">
        <x:is>
          <x:t xml:space="preserve">Compress_17</x:t>
        </x:is>
      </x:c>
      <x:c r="D1145" s="1" t="inlineStr">
        <x:is>
          <x:t xml:space="preserve">INCONCLUSIVE</x:t>
        </x:is>
      </x:c>
      <x:c r="E1145" s="5">
        <x:v>0.7206999999999999</x:v>
      </x:c>
      <x:c r="F1145" s="4">
        <x:v>0</x:v>
      </x:c>
      <x:c r="G1145" s="4"/>
      <x:c r="H1145" s="6"/>
      <x:c r="I1145" s="16">
        <x:v>1</x:v>
      </x:c>
      <x:c r="J1145">
        <x:v>179</x:v>
      </x:c>
      <x:c r="K1145" s="4">
        <x:v>129</x:v>
      </x:c>
      <x:c r="L1145" s="4">
        <x:v>116</x:v>
      </x:c>
      <x:c r="M1145" s="4">
        <x:v>82</x:v>
      </x:c>
      <x:c r="N1145" s="5">
        <x:v>0.7069</x:v>
      </x:c>
    </x:row>
    <x:row r="1146" ht="24" customHeight="1">
      <x:c r="A1146" s="1" t="inlineStr">
        <x:is>
          <x:t xml:space="preserve">RESULT</x:t>
        </x:is>
      </x:c>
      <x:c r="B1146" s="1" t="inlineStr">
        <x:is>
          <x:t xml:space="preserve">Round2</x:t>
        </x:is>
      </x:c>
      <x:c r="C1146" s="1" t="inlineStr">
        <x:is>
          <x:t xml:space="preserve">Compress_18</x:t>
        </x:is>
      </x:c>
      <x:c r="D1146" s="1" t="inlineStr">
        <x:is>
          <x:t xml:space="preserve">NOT_AVAILABLE</x:t>
        </x:is>
      </x:c>
      <x:c r="E1146" s="5"/>
      <x:c r="F1146" s="4">
        <x:v>0</x:v>
      </x:c>
      <x:c r="G1146" s="4">
        <x:v>9287</x:v>
      </x:c>
      <x:c r="H1146" s="6">
        <x:v>42.29</x:v>
      </x:c>
      <x:c r="I1146" s="16">
        <x:v>1</x:v>
      </x:c>
      <x:c r="J1146"/>
      <x:c r="K1146" s="4"/>
      <x:c r="L1146" s="4"/>
      <x:c r="M1146" s="4"/>
      <x:c r="N1146" s="5"/>
    </x:row>
    <x:row r="1147" ht="24" customHeight="1">
      <x:c r="A1147" s="1" t="inlineStr">
        <x:is>
          <x:t xml:space="preserve">RESULT</x:t>
        </x:is>
      </x:c>
      <x:c r="B1147" s="1" t="inlineStr">
        <x:is>
          <x:t xml:space="preserve">Round2</x:t>
        </x:is>
      </x:c>
      <x:c r="C1147" s="1" t="inlineStr">
        <x:is>
          <x:t xml:space="preserve">Compress_19</x:t>
        </x:is>
      </x:c>
      <x:c r="D1147" s="1" t="inlineStr">
        <x:is>
          <x:t xml:space="preserve">INCONCLUSIVE</x:t>
        </x:is>
      </x:c>
      <x:c r="E1147" s="5">
        <x:v>0.9899</x:v>
      </x:c>
      <x:c r="F1147" s="4">
        <x:v>0</x:v>
      </x:c>
      <x:c r="G1147" s="4">
        <x:v>7452</x:v>
      </x:c>
      <x:c r="H1147" s="6">
        <x:v>36.13</x:v>
      </x:c>
      <x:c r="I1147" s="16">
        <x:v>1</x:v>
      </x:c>
      <x:c r="J1147">
        <x:v>99</x:v>
      </x:c>
      <x:c r="K1147" s="4">
        <x:v>98</x:v>
      </x:c>
      <x:c r="L1147" s="4">
        <x:v>60</x:v>
      </x:c>
      <x:c r="M1147" s="4">
        <x:v>59</x:v>
      </x:c>
      <x:c r="N1147" s="5">
        <x:v>0.9833</x:v>
      </x:c>
    </x:row>
    <x:row r="1148" ht="24" customHeight="1">
      <x:c r="A1148" s="1" t="inlineStr">
        <x:is>
          <x:t xml:space="preserve">RESULT</x:t>
        </x:is>
      </x:c>
      <x:c r="B1148" s="1" t="inlineStr">
        <x:is>
          <x:t xml:space="preserve">Round2</x:t>
        </x:is>
      </x:c>
      <x:c r="C1148" s="1" t="inlineStr">
        <x:is>
          <x:t xml:space="preserve">Compress_2</x:t>
        </x:is>
      </x:c>
      <x:c r="D1148" s="1" t="inlineStr">
        <x:is>
          <x:t xml:space="preserve">NOT_AVAILABLE</x:t>
        </x:is>
      </x:c>
      <x:c r="E1148" s="5"/>
      <x:c r="F1148" s="4">
        <x:v>0</x:v>
      </x:c>
      <x:c r="G1148" s="4">
        <x:v>4798</x:v>
      </x:c>
      <x:c r="H1148" s="6">
        <x:v>20.54</x:v>
      </x:c>
      <x:c r="I1148" s="16">
        <x:v>1</x:v>
      </x:c>
      <x:c r="J1148"/>
      <x:c r="K1148" s="4"/>
      <x:c r="L1148" s="4"/>
      <x:c r="M1148" s="4"/>
      <x:c r="N1148" s="5"/>
    </x:row>
    <x:row r="1149" ht="24" customHeight="1">
      <x:c r="A1149" s="1" t="inlineStr">
        <x:is>
          <x:t xml:space="preserve">RESULT</x:t>
        </x:is>
      </x:c>
      <x:c r="B1149" s="1" t="inlineStr">
        <x:is>
          <x:t xml:space="preserve">Round2</x:t>
        </x:is>
      </x:c>
      <x:c r="C1149" s="1" t="inlineStr">
        <x:is>
          <x:t xml:space="preserve">Compress_20</x:t>
        </x:is>
      </x:c>
      <x:c r="D1149" s="1" t="inlineStr">
        <x:is>
          <x:t xml:space="preserve">INCONCLUSIVE</x:t>
        </x:is>
      </x:c>
      <x:c r="E1149" s="5">
        <x:v>0.39909999999999995</x:v>
      </x:c>
      <x:c r="F1149" s="4">
        <x:v>0</x:v>
      </x:c>
      <x:c r="G1149" s="4"/>
      <x:c r="H1149" s="6"/>
      <x:c r="I1149" s="16">
        <x:v>1</x:v>
      </x:c>
      <x:c r="J1149">
        <x:v>213</x:v>
      </x:c>
      <x:c r="K1149" s="4">
        <x:v>85</x:v>
      </x:c>
      <x:c r="L1149" s="4">
        <x:v>114</x:v>
      </x:c>
      <x:c r="M1149" s="4">
        <x:v>33</x:v>
      </x:c>
      <x:c r="N1149" s="5">
        <x:v>0.2895</x:v>
      </x:c>
    </x:row>
    <x:row r="1150" ht="24" customHeight="1">
      <x:c r="A1150" s="1" t="inlineStr">
        <x:is>
          <x:t xml:space="preserve">RESULT</x:t>
        </x:is>
      </x:c>
      <x:c r="B1150" s="1" t="inlineStr">
        <x:is>
          <x:t xml:space="preserve">Round2</x:t>
        </x:is>
      </x:c>
      <x:c r="C1150" s="1" t="inlineStr">
        <x:is>
          <x:t xml:space="preserve">Compress_21</x:t>
        </x:is>
      </x:c>
      <x:c r="D1150" s="1" t="inlineStr">
        <x:is>
          <x:t xml:space="preserve">INCONCLUSIVE</x:t>
        </x:is>
      </x:c>
      <x:c r="E1150" s="5">
        <x:v>0.7128</x:v>
      </x:c>
      <x:c r="F1150" s="4">
        <x:v>0</x:v>
      </x:c>
      <x:c r="G1150" s="4"/>
      <x:c r="H1150" s="6"/>
      <x:c r="I1150" s="16">
        <x:v>1</x:v>
      </x:c>
      <x:c r="J1150">
        <x:v>390</x:v>
      </x:c>
      <x:c r="K1150" s="4">
        <x:v>278</x:v>
      </x:c>
      <x:c r="L1150" s="4">
        <x:v>136</x:v>
      </x:c>
      <x:c r="M1150" s="4">
        <x:v>81</x:v>
      </x:c>
      <x:c r="N1150" s="5">
        <x:v>0.5956</x:v>
      </x:c>
    </x:row>
    <x:row r="1151" ht="24" customHeight="1">
      <x:c r="A1151" s="1" t="inlineStr">
        <x:is>
          <x:t xml:space="preserve">RESULT</x:t>
        </x:is>
      </x:c>
      <x:c r="B1151" s="1" t="inlineStr">
        <x:is>
          <x:t xml:space="preserve">Round2</x:t>
        </x:is>
      </x:c>
      <x:c r="C1151" s="1" t="inlineStr">
        <x:is>
          <x:t xml:space="preserve">Compress_22</x:t>
        </x:is>
      </x:c>
      <x:c r="D1151" s="1" t="inlineStr">
        <x:is>
          <x:t xml:space="preserve">INCONCLUSIVE</x:t>
        </x:is>
      </x:c>
      <x:c r="E1151" s="5">
        <x:v>0.084</x:v>
      </x:c>
      <x:c r="F1151" s="4">
        <x:v>0</x:v>
      </x:c>
      <x:c r="G1151" s="4">
        <x:v>9368</x:v>
      </x:c>
      <x:c r="H1151" s="6">
        <x:v>7.14</x:v>
      </x:c>
      <x:c r="I1151" s="16">
        <x:v>1</x:v>
      </x:c>
      <x:c r="J1151">
        <x:v>500</x:v>
      </x:c>
      <x:c r="K1151" s="4">
        <x:v>42</x:v>
      </x:c>
      <x:c r="L1151" s="4">
        <x:v>265</x:v>
      </x:c>
      <x:c r="M1151" s="4">
        <x:v>22</x:v>
      </x:c>
      <x:c r="N1151" s="5">
        <x:v>0.083</x:v>
      </x:c>
    </x:row>
    <x:row r="1152" ht="24" customHeight="1">
      <x:c r="A1152" s="1" t="inlineStr">
        <x:is>
          <x:t xml:space="preserve">RESULT</x:t>
        </x:is>
      </x:c>
      <x:c r="B1152" s="1" t="inlineStr">
        <x:is>
          <x:t xml:space="preserve">Round2</x:t>
        </x:is>
      </x:c>
      <x:c r="C1152" s="1" t="inlineStr">
        <x:is>
          <x:t xml:space="preserve">Compress_23</x:t>
        </x:is>
      </x:c>
      <x:c r="D1152" s="1" t="inlineStr">
        <x:is>
          <x:t xml:space="preserve">NOT_AVAILABLE</x:t>
        </x:is>
      </x:c>
      <x:c r="E1152" s="5"/>
      <x:c r="F1152" s="4">
        <x:v>0</x:v>
      </x:c>
      <x:c r="G1152" s="4">
        <x:v>5857</x:v>
      </x:c>
      <x:c r="H1152" s="6">
        <x:v>25.08</x:v>
      </x:c>
      <x:c r="I1152" s="16">
        <x:v>1</x:v>
      </x:c>
      <x:c r="J1152"/>
      <x:c r="K1152" s="4"/>
      <x:c r="L1152" s="4"/>
      <x:c r="M1152" s="4"/>
      <x:c r="N1152" s="5"/>
    </x:row>
    <x:row r="1153" ht="24" customHeight="1">
      <x:c r="A1153" s="1" t="inlineStr">
        <x:is>
          <x:t xml:space="preserve">RESULT</x:t>
        </x:is>
      </x:c>
      <x:c r="B1153" s="1" t="inlineStr">
        <x:is>
          <x:t xml:space="preserve">Round2</x:t>
        </x:is>
      </x:c>
      <x:c r="C1153" s="1" t="inlineStr">
        <x:is>
          <x:t xml:space="preserve">Compress_24</x:t>
        </x:is>
      </x:c>
      <x:c r="D1153" s="1" t="inlineStr">
        <x:is>
          <x:t xml:space="preserve">INCONCLUSIVE</x:t>
        </x:is>
      </x:c>
      <x:c r="E1153" s="5">
        <x:v>0.6667000000000001</x:v>
      </x:c>
      <x:c r="F1153" s="4">
        <x:v>0</x:v>
      </x:c>
      <x:c r="G1153" s="4"/>
      <x:c r="H1153" s="6"/>
      <x:c r="I1153" s="16">
        <x:v>1</x:v>
      </x:c>
      <x:c r="J1153">
        <x:v>180</x:v>
      </x:c>
      <x:c r="K1153" s="4">
        <x:v>120</x:v>
      </x:c>
      <x:c r="L1153" s="4">
        <x:v>118</x:v>
      </x:c>
      <x:c r="M1153" s="4">
        <x:v>75</x:v>
      </x:c>
      <x:c r="N1153" s="5">
        <x:v>0.6356</x:v>
      </x:c>
    </x:row>
    <x:row r="1154" ht="24" customHeight="1">
      <x:c r="A1154" s="1" t="inlineStr">
        <x:is>
          <x:t xml:space="preserve">RESULT</x:t>
        </x:is>
      </x:c>
      <x:c r="B1154" s="1" t="inlineStr">
        <x:is>
          <x:t xml:space="preserve">Round2</x:t>
        </x:is>
      </x:c>
      <x:c r="C1154" s="1" t="inlineStr">
        <x:is>
          <x:t xml:space="preserve">Compress_25</x:t>
        </x:is>
      </x:c>
      <x:c r="D1154" s="1" t="inlineStr">
        <x:is>
          <x:t xml:space="preserve">INCONCLUSIVE</x:t>
        </x:is>
      </x:c>
      <x:c r="E1154" s="5">
        <x:v>0.6384000000000001</x:v>
      </x:c>
      <x:c r="F1154" s="4">
        <x:v>0</x:v>
      </x:c>
      <x:c r="G1154" s="4">
        <x:v>10812</x:v>
      </x:c>
      <x:c r="H1154" s="6">
        <x:v>49.72</x:v>
      </x:c>
      <x:c r="I1154" s="16">
        <x:v>1</x:v>
      </x:c>
      <x:c r="J1154">
        <x:v>401</x:v>
      </x:c>
      <x:c r="K1154" s="4">
        <x:v>256</x:v>
      </x:c>
      <x:c r="L1154" s="4">
        <x:v>252</x:v>
      </x:c>
      <x:c r="M1154" s="4">
        <x:v>121</x:v>
      </x:c>
      <x:c r="N1154" s="5">
        <x:v>0.4802</x:v>
      </x:c>
    </x:row>
    <x:row r="1155" ht="24" customHeight="1">
      <x:c r="A1155" s="1" t="inlineStr">
        <x:is>
          <x:t xml:space="preserve">RESULT</x:t>
        </x:is>
      </x:c>
      <x:c r="B1155" s="1" t="inlineStr">
        <x:is>
          <x:t xml:space="preserve">Round2</x:t>
        </x:is>
      </x:c>
      <x:c r="C1155" s="1" t="inlineStr">
        <x:is>
          <x:t xml:space="preserve">Compress_26</x:t>
        </x:is>
      </x:c>
      <x:c r="D1155" s="1" t="inlineStr">
        <x:is>
          <x:t xml:space="preserve">NOT_REVEALING</x:t>
        </x:is>
      </x:c>
      <x:c r="E1155" s="5">
        <x:v>1.0</x:v>
      </x:c>
      <x:c r="F1155" s="4">
        <x:v>0</x:v>
      </x:c>
      <x:c r="G1155" s="4">
        <x:v>4733</x:v>
      </x:c>
      <x:c r="H1155" s="6">
        <x:v>19.09</x:v>
      </x:c>
      <x:c r="I1155" s="16">
        <x:v>1</x:v>
      </x:c>
      <x:c r="J1155">
        <x:v>36</x:v>
      </x:c>
      <x:c r="K1155" s="4">
        <x:v>36</x:v>
      </x:c>
      <x:c r="L1155" s="4">
        <x:v>18</x:v>
      </x:c>
      <x:c r="M1155" s="4">
        <x:v>18</x:v>
      </x:c>
      <x:c r="N1155" s="5">
        <x:v>1.0</x:v>
      </x:c>
    </x:row>
    <x:row r="1156" ht="24" customHeight="1">
      <x:c r="A1156" s="1" t="inlineStr">
        <x:is>
          <x:t xml:space="preserve">RESULT</x:t>
        </x:is>
      </x:c>
      <x:c r="B1156" s="1" t="inlineStr">
        <x:is>
          <x:t xml:space="preserve">Round2</x:t>
        </x:is>
      </x:c>
      <x:c r="C1156" s="1" t="inlineStr">
        <x:is>
          <x:t xml:space="preserve">Compress_27</x:t>
        </x:is>
      </x:c>
      <x:c r="D1156" s="1" t="inlineStr">
        <x:is>
          <x:t xml:space="preserve">NOT_AVAILABLE</x:t>
        </x:is>
      </x:c>
      <x:c r="E1156" s="5"/>
      <x:c r="F1156" s="4">
        <x:v>0</x:v>
      </x:c>
      <x:c r="G1156" s="4">
        <x:v>9487</x:v>
      </x:c>
      <x:c r="H1156" s="6">
        <x:v>23.52</x:v>
      </x:c>
      <x:c r="I1156" s="16">
        <x:v>1</x:v>
      </x:c>
      <x:c r="J1156"/>
      <x:c r="K1156" s="4"/>
      <x:c r="L1156" s="4"/>
      <x:c r="M1156" s="4"/>
      <x:c r="N1156" s="5"/>
    </x:row>
    <x:row r="1157" ht="24" customHeight="1">
      <x:c r="A1157" s="1" t="inlineStr">
        <x:is>
          <x:t xml:space="preserve">RESULT</x:t>
        </x:is>
      </x:c>
      <x:c r="B1157" s="1" t="inlineStr">
        <x:is>
          <x:t xml:space="preserve">Round2</x:t>
        </x:is>
      </x:c>
      <x:c r="C1157" s="1" t="inlineStr">
        <x:is>
          <x:t xml:space="preserve">Compress_28</x:t>
        </x:is>
      </x:c>
      <x:c r="D1157" s="1" t="inlineStr">
        <x:is>
          <x:t xml:space="preserve">NOT_AVAILABLE</x:t>
        </x:is>
      </x:c>
      <x:c r="E1157" s="5"/>
      <x:c r="F1157" s="4">
        <x:v>0</x:v>
      </x:c>
      <x:c r="G1157" s="4">
        <x:v>11380</x:v>
      </x:c>
      <x:c r="H1157" s="6">
        <x:v>55.49</x:v>
      </x:c>
      <x:c r="I1157" s="16">
        <x:v>1</x:v>
      </x:c>
      <x:c r="J1157"/>
      <x:c r="K1157" s="4"/>
      <x:c r="L1157" s="4"/>
      <x:c r="M1157" s="4"/>
      <x:c r="N1157" s="5"/>
    </x:row>
    <x:row r="1158" ht="24" customHeight="1">
      <x:c r="A1158" s="1" t="inlineStr">
        <x:is>
          <x:t xml:space="preserve">RESULT</x:t>
        </x:is>
      </x:c>
      <x:c r="B1158" s="1" t="inlineStr">
        <x:is>
          <x:t xml:space="preserve">Round2</x:t>
        </x:is>
      </x:c>
      <x:c r="C1158" s="1" t="inlineStr">
        <x:is>
          <x:t xml:space="preserve">Compress_29</x:t>
        </x:is>
      </x:c>
      <x:c r="D1158" s="1" t="inlineStr">
        <x:is>
          <x:t xml:space="preserve">NOT_AVAILABLE</x:t>
        </x:is>
      </x:c>
      <x:c r="E1158" s="5"/>
      <x:c r="F1158" s="4">
        <x:v>0</x:v>
      </x:c>
      <x:c r="G1158" s="4">
        <x:v>100923</x:v>
      </x:c>
      <x:c r="H1158" s="6">
        <x:v>2330.61</x:v>
      </x:c>
      <x:c r="I1158" s="16">
        <x:v>1</x:v>
      </x:c>
      <x:c r="J1158"/>
      <x:c r="K1158" s="4"/>
      <x:c r="L1158" s="4"/>
      <x:c r="M1158" s="4"/>
      <x:c r="N1158" s="5"/>
    </x:row>
    <x:row r="1159" ht="24" customHeight="1">
      <x:c r="A1159" s="1" t="inlineStr">
        <x:is>
          <x:t xml:space="preserve">RESULT</x:t>
        </x:is>
      </x:c>
      <x:c r="B1159" s="1" t="inlineStr">
        <x:is>
          <x:t xml:space="preserve">Round2</x:t>
        </x:is>
      </x:c>
      <x:c r="C1159" s="1" t="inlineStr">
        <x:is>
          <x:t xml:space="preserve">Compress_3</x:t>
        </x:is>
      </x:c>
      <x:c r="D1159" s="1" t="inlineStr">
        <x:is>
          <x:t xml:space="preserve">INCONCLUSIVE</x:t>
        </x:is>
      </x:c>
      <x:c r="E1159" s="5">
        <x:v>0.9444</x:v>
      </x:c>
      <x:c r="F1159" s="4">
        <x:v>0</x:v>
      </x:c>
      <x:c r="G1159" s="4">
        <x:v>28192</x:v>
      </x:c>
      <x:c r="H1159" s="6">
        <x:v>1116.56</x:v>
      </x:c>
      <x:c r="I1159" s="16">
        <x:v>1</x:v>
      </x:c>
      <x:c r="J1159">
        <x:v>90</x:v>
      </x:c>
      <x:c r="K1159" s="4">
        <x:v>85</x:v>
      </x:c>
      <x:c r="L1159" s="4">
        <x:v>28</x:v>
      </x:c>
      <x:c r="M1159" s="4">
        <x:v>27</x:v>
      </x:c>
      <x:c r="N1159" s="5">
        <x:v>0.9643</x:v>
      </x:c>
    </x:row>
    <x:row r="1160" ht="24" customHeight="1">
      <x:c r="A1160" s="1" t="inlineStr">
        <x:is>
          <x:t xml:space="preserve">RESULT</x:t>
        </x:is>
      </x:c>
      <x:c r="B1160" s="1" t="inlineStr">
        <x:is>
          <x:t xml:space="preserve">Round2</x:t>
        </x:is>
      </x:c>
      <x:c r="C1160" s="1" t="inlineStr">
        <x:is>
          <x:t xml:space="preserve">Compress_30</x:t>
        </x:is>
      </x:c>
      <x:c r="D1160" s="1" t="inlineStr">
        <x:is>
          <x:t xml:space="preserve">INCONCLUSIVE</x:t>
        </x:is>
      </x:c>
      <x:c r="E1160" s="5">
        <x:v>0.0799</x:v>
      </x:c>
      <x:c r="F1160" s="4">
        <x:v>0</x:v>
      </x:c>
      <x:c r="G1160" s="4"/>
      <x:c r="H1160" s="6"/>
      <x:c r="I1160" s="16">
        <x:v>1</x:v>
      </x:c>
      <x:c r="J1160">
        <x:v>488</x:v>
      </x:c>
      <x:c r="K1160" s="4">
        <x:v>39</x:v>
      </x:c>
      <x:c r="L1160" s="4">
        <x:v>265</x:v>
      </x:c>
      <x:c r="M1160" s="4">
        <x:v>19</x:v>
      </x:c>
      <x:c r="N1160" s="5">
        <x:v>0.0717</x:v>
      </x:c>
    </x:row>
    <x:row r="1161" ht="24" customHeight="1">
      <x:c r="A1161" s="1" t="inlineStr">
        <x:is>
          <x:t xml:space="preserve">RESULT</x:t>
        </x:is>
      </x:c>
      <x:c r="B1161" s="1" t="inlineStr">
        <x:is>
          <x:t xml:space="preserve">Round2</x:t>
        </x:is>
      </x:c>
      <x:c r="C1161" s="1" t="inlineStr">
        <x:is>
          <x:t xml:space="preserve">Compress_31</x:t>
        </x:is>
      </x:c>
      <x:c r="D1161" s="1" t="inlineStr">
        <x:is>
          <x:t xml:space="preserve">INCONCLUSIVE</x:t>
        </x:is>
      </x:c>
      <x:c r="E1161" s="5">
        <x:v>0.6591</x:v>
      </x:c>
      <x:c r="F1161" s="4">
        <x:v>0</x:v>
      </x:c>
      <x:c r="G1161" s="4"/>
      <x:c r="H1161" s="6"/>
      <x:c r="I1161" s="16">
        <x:v>1</x:v>
      </x:c>
      <x:c r="J1161">
        <x:v>176</x:v>
      </x:c>
      <x:c r="K1161" s="4">
        <x:v>116</x:v>
      </x:c>
      <x:c r="L1161" s="4">
        <x:v>116</x:v>
      </x:c>
      <x:c r="M1161" s="4">
        <x:v>73</x:v>
      </x:c>
      <x:c r="N1161" s="5">
        <x:v>0.6293</x:v>
      </x:c>
    </x:row>
    <x:row r="1162" ht="24" customHeight="1">
      <x:c r="A1162" s="1" t="inlineStr">
        <x:is>
          <x:t xml:space="preserve">RESULT</x:t>
        </x:is>
      </x:c>
      <x:c r="B1162" s="1" t="inlineStr">
        <x:is>
          <x:t xml:space="preserve">Round2</x:t>
        </x:is>
      </x:c>
      <x:c r="C1162" s="1" t="inlineStr">
        <x:is>
          <x:t xml:space="preserve">Compress_32</x:t>
        </x:is>
      </x:c>
      <x:c r="D1162" s="1" t="inlineStr">
        <x:is>
          <x:t xml:space="preserve">INCONCLUSIVE</x:t>
        </x:is>
      </x:c>
      <x:c r="E1162" s="5">
        <x:v>0.4364</x:v>
      </x:c>
      <x:c r="F1162" s="4">
        <x:v>0</x:v>
      </x:c>
      <x:c r="G1162" s="4"/>
      <x:c r="H1162" s="6"/>
      <x:c r="I1162" s="16">
        <x:v>1</x:v>
      </x:c>
      <x:c r="J1162">
        <x:v>220</x:v>
      </x:c>
      <x:c r="K1162" s="4">
        <x:v>96</x:v>
      </x:c>
      <x:c r="L1162" s="4">
        <x:v>126</x:v>
      </x:c>
      <x:c r="M1162" s="4">
        <x:v>38</x:v>
      </x:c>
      <x:c r="N1162" s="5">
        <x:v>0.3016</x:v>
      </x:c>
    </x:row>
    <x:row r="1163" ht="24" customHeight="1">
      <x:c r="A1163" s="1" t="inlineStr">
        <x:is>
          <x:t xml:space="preserve">RESULT</x:t>
        </x:is>
      </x:c>
      <x:c r="B1163" s="1" t="inlineStr">
        <x:is>
          <x:t xml:space="preserve">Round2</x:t>
        </x:is>
      </x:c>
      <x:c r="C1163" s="1" t="inlineStr">
        <x:is>
          <x:t xml:space="preserve">Compress_33</x:t>
        </x:is>
      </x:c>
      <x:c r="D1163" s="1" t="inlineStr">
        <x:is>
          <x:t xml:space="preserve">NOT_AVAILABLE</x:t>
        </x:is>
      </x:c>
      <x:c r="E1163" s="5"/>
      <x:c r="F1163" s="4">
        <x:v>0</x:v>
      </x:c>
      <x:c r="G1163" s="4">
        <x:v>34149</x:v>
      </x:c>
      <x:c r="H1163" s="6">
        <x:v>1158.57</x:v>
      </x:c>
      <x:c r="I1163" s="16">
        <x:v>1</x:v>
      </x:c>
      <x:c r="J1163"/>
      <x:c r="K1163" s="4"/>
      <x:c r="L1163" s="4"/>
      <x:c r="M1163" s="4"/>
      <x:c r="N1163" s="5"/>
    </x:row>
    <x:row r="1164" ht="24" customHeight="1">
      <x:c r="A1164" s="1" t="inlineStr">
        <x:is>
          <x:t xml:space="preserve">RESULT</x:t>
        </x:is>
      </x:c>
      <x:c r="B1164" s="1" t="inlineStr">
        <x:is>
          <x:t xml:space="preserve">Round2</x:t>
        </x:is>
      </x:c>
      <x:c r="C1164" s="1" t="inlineStr">
        <x:is>
          <x:t xml:space="preserve">Compress_34</x:t>
        </x:is>
      </x:c>
      <x:c r="D1164" s="1" t="inlineStr">
        <x:is>
          <x:t xml:space="preserve">INCONCLUSIVE</x:t>
        </x:is>
      </x:c>
      <x:c r="E1164" s="5">
        <x:v>1.0</x:v>
      </x:c>
      <x:c r="F1164" s="4">
        <x:v>0</x:v>
      </x:c>
      <x:c r="G1164" s="4">
        <x:v>7029</x:v>
      </x:c>
      <x:c r="H1164" s="6">
        <x:v>22.79</x:v>
      </x:c>
      <x:c r="I1164" s="16">
        <x:v>1</x:v>
      </x:c>
      <x:c r="J1164">
        <x:v>70</x:v>
      </x:c>
      <x:c r="K1164" s="4">
        <x:v>70</x:v>
      </x:c>
      <x:c r="L1164" s="4">
        <x:v>14</x:v>
      </x:c>
      <x:c r="M1164" s="4">
        <x:v>13</x:v>
      </x:c>
      <x:c r="N1164" s="5">
        <x:v>0.9286</x:v>
      </x:c>
    </x:row>
    <x:row r="1165" ht="24" customHeight="1">
      <x:c r="A1165" s="1" t="inlineStr">
        <x:is>
          <x:t xml:space="preserve">RESULT</x:t>
        </x:is>
      </x:c>
      <x:c r="B1165" s="1" t="inlineStr">
        <x:is>
          <x:t xml:space="preserve">Round2</x:t>
        </x:is>
      </x:c>
      <x:c r="C1165" s="1" t="inlineStr">
        <x:is>
          <x:t xml:space="preserve">Compress_35</x:t>
        </x:is>
      </x:c>
      <x:c r="D1165" s="1" t="inlineStr">
        <x:is>
          <x:t xml:space="preserve">INCONCLUSIVE</x:t>
        </x:is>
      </x:c>
      <x:c r="E1165" s="5">
        <x:v>0.6954</x:v>
      </x:c>
      <x:c r="F1165" s="4">
        <x:v>0</x:v>
      </x:c>
      <x:c r="G1165" s="4">
        <x:v>5424</x:v>
      </x:c>
      <x:c r="H1165" s="6">
        <x:v>12.74</x:v>
      </x:c>
      <x:c r="I1165" s="16">
        <x:v>1</x:v>
      </x:c>
      <x:c r="J1165">
        <x:v>174</x:v>
      </x:c>
      <x:c r="K1165" s="4">
        <x:v>121</x:v>
      </x:c>
      <x:c r="L1165" s="4">
        <x:v>112</x:v>
      </x:c>
      <x:c r="M1165" s="4">
        <x:v>68</x:v>
      </x:c>
      <x:c r="N1165" s="5">
        <x:v>0.6071</x:v>
      </x:c>
    </x:row>
    <x:row r="1166" ht="24" customHeight="1">
      <x:c r="A1166" s="1" t="inlineStr">
        <x:is>
          <x:t xml:space="preserve">RESULT</x:t>
        </x:is>
      </x:c>
      <x:c r="B1166" s="1" t="inlineStr">
        <x:is>
          <x:t xml:space="preserve">Round2</x:t>
        </x:is>
      </x:c>
      <x:c r="C1166" s="1" t="inlineStr">
        <x:is>
          <x:t xml:space="preserve">Compress_36</x:t>
        </x:is>
      </x:c>
      <x:c r="D1166" s="1" t="inlineStr">
        <x:is>
          <x:t xml:space="preserve">INCONCLUSIVE</x:t>
        </x:is>
      </x:c>
      <x:c r="E1166" s="5">
        <x:v>0.075</x:v>
      </x:c>
      <x:c r="F1166" s="4">
        <x:v>0</x:v>
      </x:c>
      <x:c r="G1166" s="4"/>
      <x:c r="H1166" s="6"/>
      <x:c r="I1166" s="16">
        <x:v>1</x:v>
      </x:c>
      <x:c r="J1166">
        <x:v>533</x:v>
      </x:c>
      <x:c r="K1166" s="4">
        <x:v>40</x:v>
      </x:c>
      <x:c r="L1166" s="4">
        <x:v>303</x:v>
      </x:c>
      <x:c r="M1166" s="4">
        <x:v>10</x:v>
      </x:c>
      <x:c r="N1166" s="5">
        <x:v>0.033</x:v>
      </x:c>
    </x:row>
    <x:row r="1167" ht="24" customHeight="1">
      <x:c r="A1167" s="1" t="inlineStr">
        <x:is>
          <x:t xml:space="preserve">RESULT</x:t>
        </x:is>
      </x:c>
      <x:c r="B1167" s="1" t="inlineStr">
        <x:is>
          <x:t xml:space="preserve">Round2</x:t>
        </x:is>
      </x:c>
      <x:c r="C1167" s="1" t="inlineStr">
        <x:is>
          <x:t xml:space="preserve">Compress_37</x:t>
        </x:is>
      </x:c>
      <x:c r="D1167" s="1" t="inlineStr">
        <x:is>
          <x:t xml:space="preserve">NOT_AVAILABLE</x:t>
        </x:is>
      </x:c>
      <x:c r="E1167" s="5"/>
      <x:c r="F1167" s="4">
        <x:v>0</x:v>
      </x:c>
      <x:c r="G1167" s="4">
        <x:v>7892</x:v>
      </x:c>
      <x:c r="H1167" s="6">
        <x:v>39.5</x:v>
      </x:c>
      <x:c r="I1167" s="16">
        <x:v>1</x:v>
      </x:c>
      <x:c r="J1167"/>
      <x:c r="K1167" s="4"/>
      <x:c r="L1167" s="4"/>
      <x:c r="M1167" s="4"/>
      <x:c r="N1167" s="5"/>
    </x:row>
    <x:row r="1168" ht="24" customHeight="1">
      <x:c r="A1168" s="1" t="inlineStr">
        <x:is>
          <x:t xml:space="preserve">RESULT</x:t>
        </x:is>
      </x:c>
      <x:c r="B1168" s="1" t="inlineStr">
        <x:is>
          <x:t xml:space="preserve">Round2</x:t>
        </x:is>
      </x:c>
      <x:c r="C1168" s="1" t="inlineStr">
        <x:is>
          <x:t xml:space="preserve">Compress_38</x:t>
        </x:is>
      </x:c>
      <x:c r="D1168" s="1" t="inlineStr">
        <x:is>
          <x:t xml:space="preserve">NOT_AVAILABLE</x:t>
        </x:is>
      </x:c>
      <x:c r="E1168" s="5"/>
      <x:c r="F1168" s="4">
        <x:v>0</x:v>
      </x:c>
      <x:c r="G1168" s="4">
        <x:v>10164</x:v>
      </x:c>
      <x:c r="H1168" s="6">
        <x:v>50.46</x:v>
      </x:c>
      <x:c r="I1168" s="16">
        <x:v>1</x:v>
      </x:c>
      <x:c r="J1168"/>
      <x:c r="K1168" s="4"/>
      <x:c r="L1168" s="4"/>
      <x:c r="M1168" s="4"/>
      <x:c r="N1168" s="5"/>
    </x:row>
    <x:row r="1169" ht="24" customHeight="1">
      <x:c r="A1169" s="1" t="inlineStr">
        <x:is>
          <x:t xml:space="preserve">RESULT</x:t>
        </x:is>
      </x:c>
      <x:c r="B1169" s="1" t="inlineStr">
        <x:is>
          <x:t xml:space="preserve">Round2</x:t>
        </x:is>
      </x:c>
      <x:c r="C1169" s="1" t="inlineStr">
        <x:is>
          <x:t xml:space="preserve">Compress_39</x:t>
        </x:is>
      </x:c>
      <x:c r="D1169" s="1" t="inlineStr">
        <x:is>
          <x:t xml:space="preserve">NOT_AVAILABLE</x:t>
        </x:is>
      </x:c>
      <x:c r="E1169" s="5"/>
      <x:c r="F1169" s="4">
        <x:v>0</x:v>
      </x:c>
      <x:c r="G1169" s="4">
        <x:v>5720</x:v>
      </x:c>
      <x:c r="H1169" s="6">
        <x:v>16.48</x:v>
      </x:c>
      <x:c r="I1169" s="16">
        <x:v>1</x:v>
      </x:c>
      <x:c r="J1169"/>
      <x:c r="K1169" s="4"/>
      <x:c r="L1169" s="4"/>
      <x:c r="M1169" s="4"/>
      <x:c r="N1169" s="5"/>
    </x:row>
    <x:row r="1170" ht="24" customHeight="1">
      <x:c r="A1170" s="1" t="inlineStr">
        <x:is>
          <x:t xml:space="preserve">RESULT</x:t>
        </x:is>
      </x:c>
      <x:c r="B1170" s="1" t="inlineStr">
        <x:is>
          <x:t xml:space="preserve">Round2</x:t>
        </x:is>
      </x:c>
      <x:c r="C1170" s="1" t="inlineStr">
        <x:is>
          <x:t xml:space="preserve">Compress_4</x:t>
        </x:is>
      </x:c>
      <x:c r="D1170" s="1" t="inlineStr">
        <x:is>
          <x:t xml:space="preserve">NOT_AVAILABLE</x:t>
        </x:is>
      </x:c>
      <x:c r="E1170" s="5"/>
      <x:c r="F1170" s="4">
        <x:v>0</x:v>
      </x:c>
      <x:c r="G1170" s="4">
        <x:v>26247</x:v>
      </x:c>
      <x:c r="H1170" s="6">
        <x:v>94.46</x:v>
      </x:c>
      <x:c r="I1170" s="16">
        <x:v>1</x:v>
      </x:c>
      <x:c r="J1170"/>
      <x:c r="K1170" s="4"/>
      <x:c r="L1170" s="4"/>
      <x:c r="M1170" s="4"/>
      <x:c r="N1170" s="5"/>
    </x:row>
    <x:row r="1171" ht="24" customHeight="1">
      <x:c r="A1171" s="1" t="inlineStr">
        <x:is>
          <x:t xml:space="preserve">RESULT</x:t>
        </x:is>
      </x:c>
      <x:c r="B1171" s="1" t="inlineStr">
        <x:is>
          <x:t xml:space="preserve">Round2</x:t>
        </x:is>
      </x:c>
      <x:c r="C1171" s="1" t="inlineStr">
        <x:is>
          <x:t xml:space="preserve">Compress_40</x:t>
        </x:is>
      </x:c>
      <x:c r="D1171" s="1" t="inlineStr">
        <x:is>
          <x:t xml:space="preserve">NOT_REVEALING</x:t>
        </x:is>
      </x:c>
      <x:c r="E1171" s="5">
        <x:v>1.0</x:v>
      </x:c>
      <x:c r="F1171" s="4">
        <x:v>0</x:v>
      </x:c>
      <x:c r="G1171" s="4">
        <x:v>30359</x:v>
      </x:c>
      <x:c r="H1171" s="6">
        <x:v>1239.11</x:v>
      </x:c>
      <x:c r="I1171" s="16">
        <x:v>1</x:v>
      </x:c>
      <x:c r="J1171">
        <x:v>33</x:v>
      </x:c>
      <x:c r="K1171" s="4">
        <x:v>33</x:v>
      </x:c>
      <x:c r="L1171" s="4">
        <x:v>12</x:v>
      </x:c>
      <x:c r="M1171" s="4">
        <x:v>12</x:v>
      </x:c>
      <x:c r="N1171" s="5">
        <x:v>1.0</x:v>
      </x:c>
    </x:row>
    <x:row r="1172" ht="24" customHeight="1">
      <x:c r="A1172" s="1" t="inlineStr">
        <x:is>
          <x:t xml:space="preserve">RESULT</x:t>
        </x:is>
      </x:c>
      <x:c r="B1172" s="1" t="inlineStr">
        <x:is>
          <x:t xml:space="preserve">Round2</x:t>
        </x:is>
      </x:c>
      <x:c r="C1172" s="1" t="inlineStr">
        <x:is>
          <x:t xml:space="preserve">Compress_41</x:t>
        </x:is>
      </x:c>
      <x:c r="D1172" s="1" t="inlineStr">
        <x:is>
          <x:t xml:space="preserve">NOT_AVAILABLE</x:t>
        </x:is>
      </x:c>
      <x:c r="E1172" s="5"/>
      <x:c r="F1172" s="4">
        <x:v>0</x:v>
      </x:c>
      <x:c r="G1172" s="4">
        <x:v>9169</x:v>
      </x:c>
      <x:c r="H1172" s="6">
        <x:v>20.38</x:v>
      </x:c>
      <x:c r="I1172" s="16">
        <x:v>1</x:v>
      </x:c>
      <x:c r="J1172"/>
      <x:c r="K1172" s="4"/>
      <x:c r="L1172" s="4"/>
      <x:c r="M1172" s="4"/>
      <x:c r="N1172" s="5"/>
    </x:row>
    <x:row r="1173" ht="24" customHeight="1">
      <x:c r="A1173" s="1" t="inlineStr">
        <x:is>
          <x:t xml:space="preserve">RESULT</x:t>
        </x:is>
      </x:c>
      <x:c r="B1173" s="1" t="inlineStr">
        <x:is>
          <x:t xml:space="preserve">Round2</x:t>
        </x:is>
      </x:c>
      <x:c r="C1173" s="1" t="inlineStr">
        <x:is>
          <x:t xml:space="preserve">Compress_42</x:t>
        </x:is>
      </x:c>
      <x:c r="D1173" s="1" t="inlineStr">
        <x:is>
          <x:t xml:space="preserve">INCONCLUSIVE</x:t>
        </x:is>
      </x:c>
      <x:c r="E1173" s="5">
        <x:v>0.8636</x:v>
      </x:c>
      <x:c r="F1173" s="4">
        <x:v>0</x:v>
      </x:c>
      <x:c r="G1173" s="4">
        <x:v>10206</x:v>
      </x:c>
      <x:c r="H1173" s="6">
        <x:v>30.98</x:v>
      </x:c>
      <x:c r="I1173" s="16">
        <x:v>1</x:v>
      </x:c>
      <x:c r="J1173">
        <x:v>242</x:v>
      </x:c>
      <x:c r="K1173" s="4">
        <x:v>209</x:v>
      </x:c>
      <x:c r="L1173" s="4">
        <x:v>132</x:v>
      </x:c>
      <x:c r="M1173" s="4">
        <x:v>88</x:v>
      </x:c>
      <x:c r="N1173" s="5">
        <x:v>0.6667000000000001</x:v>
      </x:c>
    </x:row>
    <x:row r="1174" ht="24" customHeight="1">
      <x:c r="A1174" s="1" t="inlineStr">
        <x:is>
          <x:t xml:space="preserve">RESULT</x:t>
        </x:is>
      </x:c>
      <x:c r="B1174" s="1" t="inlineStr">
        <x:is>
          <x:t xml:space="preserve">Round2</x:t>
        </x:is>
      </x:c>
      <x:c r="C1174" s="1" t="inlineStr">
        <x:is>
          <x:t xml:space="preserve">Compress_43</x:t>
        </x:is>
      </x:c>
      <x:c r="D1174" s="1" t="inlineStr">
        <x:is>
          <x:t xml:space="preserve">NOT_AVAILABLE</x:t>
        </x:is>
      </x:c>
      <x:c r="E1174" s="5"/>
      <x:c r="F1174" s="4">
        <x:v>0</x:v>
      </x:c>
      <x:c r="G1174" s="4">
        <x:v>14532</x:v>
      </x:c>
      <x:c r="H1174" s="6">
        <x:v>30.64</x:v>
      </x:c>
      <x:c r="I1174" s="16">
        <x:v>1</x:v>
      </x:c>
      <x:c r="J1174"/>
      <x:c r="K1174" s="4"/>
      <x:c r="L1174" s="4"/>
      <x:c r="M1174" s="4"/>
      <x:c r="N1174" s="5"/>
    </x:row>
    <x:row r="1175" ht="24" customHeight="1">
      <x:c r="A1175" s="1" t="inlineStr">
        <x:is>
          <x:t xml:space="preserve">RESULT</x:t>
        </x:is>
      </x:c>
      <x:c r="B1175" s="1" t="inlineStr">
        <x:is>
          <x:t xml:space="preserve">Round2</x:t>
        </x:is>
      </x:c>
      <x:c r="C1175" s="1" t="inlineStr">
        <x:is>
          <x:t xml:space="preserve">Compress_44</x:t>
        </x:is>
      </x:c>
      <x:c r="D1175" s="1" t="inlineStr">
        <x:is>
          <x:t xml:space="preserve">INCONCLUSIVE</x:t>
        </x:is>
      </x:c>
      <x:c r="E1175" s="5">
        <x:v>1.0</x:v>
      </x:c>
      <x:c r="F1175" s="4">
        <x:v>0</x:v>
      </x:c>
      <x:c r="G1175" s="4">
        <x:v>3393</x:v>
      </x:c>
      <x:c r="H1175" s="6">
        <x:v>12.4</x:v>
      </x:c>
      <x:c r="I1175" s="16">
        <x:v>1</x:v>
      </x:c>
      <x:c r="J1175">
        <x:v>17</x:v>
      </x:c>
      <x:c r="K1175" s="4">
        <x:v>17</x:v>
      </x:c>
      <x:c r="L1175" s="4">
        <x:v>6</x:v>
      </x:c>
      <x:c r="M1175" s="4">
        <x:v>6</x:v>
      </x:c>
      <x:c r="N1175" s="5">
        <x:v>1.0</x:v>
      </x:c>
    </x:row>
    <x:row r="1176" ht="24" customHeight="1">
      <x:c r="A1176" s="1" t="inlineStr">
        <x:is>
          <x:t xml:space="preserve">RESULT</x:t>
        </x:is>
      </x:c>
      <x:c r="B1176" s="1" t="inlineStr">
        <x:is>
          <x:t xml:space="preserve">Round2</x:t>
        </x:is>
      </x:c>
      <x:c r="C1176" s="1" t="inlineStr">
        <x:is>
          <x:t xml:space="preserve">Compress_45</x:t>
        </x:is>
      </x:c>
      <x:c r="D1176" s="1" t="inlineStr">
        <x:is>
          <x:t xml:space="preserve">INCONCLUSIVE</x:t>
        </x:is>
      </x:c>
      <x:c r="E1176" s="5">
        <x:v>0.6374</x:v>
      </x:c>
      <x:c r="F1176" s="4">
        <x:v>0</x:v>
      </x:c>
      <x:c r="G1176" s="4"/>
      <x:c r="H1176" s="6"/>
      <x:c r="I1176" s="16">
        <x:v>1</x:v>
      </x:c>
      <x:c r="J1176">
        <x:v>171</x:v>
      </x:c>
      <x:c r="K1176" s="4">
        <x:v>109</x:v>
      </x:c>
      <x:c r="L1176" s="4">
        <x:v>108</x:v>
      </x:c>
      <x:c r="M1176" s="4">
        <x:v>66</x:v>
      </x:c>
      <x:c r="N1176" s="5">
        <x:v>0.6111</x:v>
      </x:c>
    </x:row>
    <x:row r="1177" ht="24" customHeight="1">
      <x:c r="A1177" s="1" t="inlineStr">
        <x:is>
          <x:t xml:space="preserve">RESULT</x:t>
        </x:is>
      </x:c>
      <x:c r="B1177" s="1" t="inlineStr">
        <x:is>
          <x:t xml:space="preserve">Round2</x:t>
        </x:is>
      </x:c>
      <x:c r="C1177" s="1" t="inlineStr">
        <x:is>
          <x:t xml:space="preserve">Compress_46</x:t>
        </x:is>
      </x:c>
      <x:c r="D1177" s="1" t="inlineStr">
        <x:is>
          <x:t xml:space="preserve">INCONCLUSIVE</x:t>
        </x:is>
      </x:c>
      <x:c r="E1177" s="5">
        <x:v>0.9464</x:v>
      </x:c>
      <x:c r="F1177" s="4">
        <x:v>0</x:v>
      </x:c>
      <x:c r="G1177" s="4">
        <x:v>10389</x:v>
      </x:c>
      <x:c r="H1177" s="6">
        <x:v>35.4</x:v>
      </x:c>
      <x:c r="I1177" s="16">
        <x:v>1</x:v>
      </x:c>
      <x:c r="J1177">
        <x:v>112</x:v>
      </x:c>
      <x:c r="K1177" s="4">
        <x:v>106</x:v>
      </x:c>
      <x:c r="L1177" s="4">
        <x:v>96</x:v>
      </x:c>
      <x:c r="M1177" s="4">
        <x:v>72</x:v>
      </x:c>
      <x:c r="N1177" s="5">
        <x:v>0.75</x:v>
      </x:c>
    </x:row>
    <x:row r="1178" ht="24" customHeight="1">
      <x:c r="A1178" s="1" t="inlineStr">
        <x:is>
          <x:t xml:space="preserve">RESULT</x:t>
        </x:is>
      </x:c>
      <x:c r="B1178" s="1" t="inlineStr">
        <x:is>
          <x:t xml:space="preserve">Round2</x:t>
        </x:is>
      </x:c>
      <x:c r="C1178" s="1" t="inlineStr">
        <x:is>
          <x:t xml:space="preserve">Compress_47</x:t>
        </x:is>
      </x:c>
      <x:c r="D1178" s="1" t="inlineStr">
        <x:is>
          <x:t xml:space="preserve">INCONCLUSIVE</x:t>
        </x:is>
      </x:c>
      <x:c r="E1178" s="5">
        <x:v>0.6557999999999999</x:v>
      </x:c>
      <x:c r="F1178" s="4">
        <x:v>0</x:v>
      </x:c>
      <x:c r="G1178" s="4"/>
      <x:c r="H1178" s="6"/>
      <x:c r="I1178" s="16">
        <x:v>1</x:v>
      </x:c>
      <x:c r="J1178">
        <x:v>430</x:v>
      </x:c>
      <x:c r="K1178" s="4">
        <x:v>282</x:v>
      </x:c>
      <x:c r="L1178" s="4">
        <x:v>273</x:v>
      </x:c>
      <x:c r="M1178" s="4">
        <x:v>129</x:v>
      </x:c>
      <x:c r="N1178" s="5">
        <x:v>0.4725</x:v>
      </x:c>
    </x:row>
    <x:row r="1179" ht="24" customHeight="1">
      <x:c r="A1179" s="1" t="inlineStr">
        <x:is>
          <x:t xml:space="preserve">RESULT</x:t>
        </x:is>
      </x:c>
      <x:c r="B1179" s="1" t="inlineStr">
        <x:is>
          <x:t xml:space="preserve">Round2</x:t>
        </x:is>
      </x:c>
      <x:c r="C1179" s="1" t="inlineStr">
        <x:is>
          <x:t xml:space="preserve">Compress_5</x:t>
        </x:is>
      </x:c>
      <x:c r="D1179" s="1" t="inlineStr">
        <x:is>
          <x:t xml:space="preserve">INCONCLUSIVE</x:t>
        </x:is>
      </x:c>
      <x:c r="E1179" s="5">
        <x:v>0.9181999999999999</x:v>
      </x:c>
      <x:c r="F1179" s="4">
        <x:v>0</x:v>
      </x:c>
      <x:c r="G1179" s="4">
        <x:v>6440</x:v>
      </x:c>
      <x:c r="H1179" s="6">
        <x:v>28.04</x:v>
      </x:c>
      <x:c r="I1179" s="16">
        <x:v>1</x:v>
      </x:c>
      <x:c r="J1179">
        <x:v>159</x:v>
      </x:c>
      <x:c r="K1179" s="4">
        <x:v>146</x:v>
      </x:c>
      <x:c r="L1179" s="4">
        <x:v>94</x:v>
      </x:c>
      <x:c r="M1179" s="4">
        <x:v>70</x:v>
      </x:c>
      <x:c r="N1179" s="5">
        <x:v>0.7447</x:v>
      </x:c>
    </x:row>
    <x:row r="1180" ht="24" customHeight="1">
      <x:c r="A1180" s="1" t="inlineStr">
        <x:is>
          <x:t xml:space="preserve">RESULT</x:t>
        </x:is>
      </x:c>
      <x:c r="B1180" s="1" t="inlineStr">
        <x:is>
          <x:t xml:space="preserve">Round2</x:t>
        </x:is>
      </x:c>
      <x:c r="C1180" s="1" t="inlineStr">
        <x:is>
          <x:t xml:space="preserve">Compress_6</x:t>
        </x:is>
      </x:c>
      <x:c r="D1180" s="1" t="inlineStr">
        <x:is>
          <x:t xml:space="preserve">NOT_AVAILABLE</x:t>
        </x:is>
      </x:c>
      <x:c r="E1180" s="5"/>
      <x:c r="F1180" s="4">
        <x:v>0</x:v>
      </x:c>
      <x:c r="G1180" s="4">
        <x:v>8221</x:v>
      </x:c>
      <x:c r="H1180" s="6">
        <x:v>31.88</x:v>
      </x:c>
      <x:c r="I1180" s="16">
        <x:v>1</x:v>
      </x:c>
      <x:c r="J1180"/>
      <x:c r="K1180" s="4"/>
      <x:c r="L1180" s="4"/>
      <x:c r="M1180" s="4"/>
      <x:c r="N1180" s="5"/>
    </x:row>
    <x:row r="1181" ht="24" customHeight="1">
      <x:c r="A1181" s="1" t="inlineStr">
        <x:is>
          <x:t xml:space="preserve">RESULT</x:t>
        </x:is>
      </x:c>
      <x:c r="B1181" s="1" t="inlineStr">
        <x:is>
          <x:t xml:space="preserve">Round2</x:t>
        </x:is>
      </x:c>
      <x:c r="C1181" s="1" t="inlineStr">
        <x:is>
          <x:t xml:space="preserve">Compress_7</x:t>
        </x:is>
      </x:c>
      <x:c r="D1181" s="1" t="inlineStr">
        <x:is>
          <x:t xml:space="preserve">INCONCLUSIVE</x:t>
        </x:is>
      </x:c>
      <x:c r="E1181" s="5">
        <x:v>0.9682999999999999</x:v>
      </x:c>
      <x:c r="F1181" s="4">
        <x:v>0</x:v>
      </x:c>
      <x:c r="G1181" s="4">
        <x:v>5075</x:v>
      </x:c>
      <x:c r="H1181" s="6">
        <x:v>13.76</x:v>
      </x:c>
      <x:c r="I1181" s="16">
        <x:v>1</x:v>
      </x:c>
      <x:c r="J1181">
        <x:v>63</x:v>
      </x:c>
      <x:c r="K1181" s="4">
        <x:v>61</x:v>
      </x:c>
      <x:c r="L1181" s="4">
        <x:v>38</x:v>
      </x:c>
      <x:c r="M1181" s="4">
        <x:v>35</x:v>
      </x:c>
      <x:c r="N1181" s="5">
        <x:v>0.9211</x:v>
      </x:c>
    </x:row>
    <x:row r="1182" ht="24" customHeight="1">
      <x:c r="A1182" s="1" t="inlineStr">
        <x:is>
          <x:t xml:space="preserve">RESULT</x:t>
        </x:is>
      </x:c>
      <x:c r="B1182" s="1" t="inlineStr">
        <x:is>
          <x:t xml:space="preserve">Round2</x:t>
        </x:is>
      </x:c>
      <x:c r="C1182" s="1" t="inlineStr">
        <x:is>
          <x:t xml:space="preserve">Compress_8</x:t>
        </x:is>
      </x:c>
      <x:c r="D1182" s="1" t="inlineStr">
        <x:is>
          <x:t xml:space="preserve">INCONCLUSIVE</x:t>
        </x:is>
      </x:c>
      <x:c r="E1182" s="5">
        <x:v>0.9714</x:v>
      </x:c>
      <x:c r="F1182" s="4">
        <x:v>0</x:v>
      </x:c>
      <x:c r="G1182" s="4"/>
      <x:c r="H1182" s="6"/>
      <x:c r="I1182" s="16">
        <x:v>1</x:v>
      </x:c>
      <x:c r="J1182">
        <x:v>70</x:v>
      </x:c>
      <x:c r="K1182" s="4">
        <x:v>68</x:v>
      </x:c>
      <x:c r="L1182" s="4">
        <x:v>38</x:v>
      </x:c>
      <x:c r="M1182" s="4">
        <x:v>35</x:v>
      </x:c>
      <x:c r="N1182" s="5">
        <x:v>0.9211</x:v>
      </x:c>
    </x:row>
    <x:row r="1183" ht="24" customHeight="1">
      <x:c r="A1183" s="1" t="inlineStr">
        <x:is>
          <x:t xml:space="preserve">RESULT</x:t>
        </x:is>
      </x:c>
      <x:c r="B1183" s="1" t="inlineStr">
        <x:is>
          <x:t xml:space="preserve">Round2</x:t>
        </x:is>
      </x:c>
      <x:c r="C1183" s="1" t="inlineStr">
        <x:is>
          <x:t xml:space="preserve">Compress_9</x:t>
        </x:is>
      </x:c>
      <x:c r="D1183" s="1" t="inlineStr">
        <x:is>
          <x:t xml:space="preserve">INCONCLUSIVE</x:t>
        </x:is>
      </x:c>
      <x:c r="E1183" s="5">
        <x:v>0.7726999999999999</x:v>
      </x:c>
      <x:c r="F1183" s="4">
        <x:v>0</x:v>
      </x:c>
      <x:c r="G1183" s="4"/>
      <x:c r="H1183" s="6"/>
      <x:c r="I1183" s="16">
        <x:v>1</x:v>
      </x:c>
      <x:c r="J1183">
        <x:v>110</x:v>
      </x:c>
      <x:c r="K1183" s="4">
        <x:v>85</x:v>
      </x:c>
      <x:c r="L1183" s="4">
        <x:v>42</x:v>
      </x:c>
      <x:c r="M1183" s="4">
        <x:v>35</x:v>
      </x:c>
      <x:c r="N1183" s="5">
        <x:v>0.8332999999999999</x:v>
      </x:c>
    </x:row>
    <x:row r="1184" ht="24" customHeight="1">
      <x:c r="A1184" s="1" t="inlineStr">
        <x:is>
          <x:t xml:space="preserve">RESULT</x:t>
        </x:is>
      </x:c>
      <x:c r="B1184" s="1" t="inlineStr">
        <x:is>
          <x:t xml:space="preserve">Round2</x:t>
        </x:is>
      </x:c>
      <x:c r="C1184" s="1" t="inlineStr">
        <x:is>
          <x:t xml:space="preserve">Csv_1</x:t>
        </x:is>
      </x:c>
      <x:c r="D1184" s="1" t="inlineStr">
        <x:is>
          <x:t xml:space="preserve">INCONCLUSIVE</x:t>
        </x:is>
      </x:c>
      <x:c r="E1184" s="5">
        <x:v>1.0</x:v>
      </x:c>
      <x:c r="F1184" s="4">
        <x:v>0</x:v>
      </x:c>
      <x:c r="G1184" s="4"/>
      <x:c r="H1184" s="6"/>
      <x:c r="I1184" s="16">
        <x:v>1</x:v>
      </x:c>
      <x:c r="J1184">
        <x:v>37</x:v>
      </x:c>
      <x:c r="K1184" s="4">
        <x:v>37</x:v>
      </x:c>
      <x:c r="L1184" s="4">
        <x:v>22</x:v>
      </x:c>
      <x:c r="M1184" s="4">
        <x:v>21</x:v>
      </x:c>
      <x:c r="N1184" s="5">
        <x:v>0.9545</x:v>
      </x:c>
    </x:row>
    <x:row r="1185" ht="24" customHeight="1">
      <x:c r="A1185" s="1" t="inlineStr">
        <x:is>
          <x:t xml:space="preserve">RESULT</x:t>
        </x:is>
      </x:c>
      <x:c r="B1185" s="1" t="inlineStr">
        <x:is>
          <x:t xml:space="preserve">Round2</x:t>
        </x:is>
      </x:c>
      <x:c r="C1185" s="1" t="inlineStr">
        <x:is>
          <x:t xml:space="preserve">Csv_10</x:t>
        </x:is>
      </x:c>
      <x:c r="D1185" s="1" t="inlineStr">
        <x:is>
          <x:t xml:space="preserve">NOT_AVAILABLE</x:t>
        </x:is>
      </x:c>
      <x:c r="E1185" s="5"/>
      <x:c r="F1185" s="4">
        <x:v>0</x:v>
      </x:c>
      <x:c r="G1185" s="4">
        <x:v>10286</x:v>
      </x:c>
      <x:c r="H1185" s="6">
        <x:v>66.17</x:v>
      </x:c>
      <x:c r="I1185" s="16">
        <x:v>1</x:v>
      </x:c>
      <x:c r="J1185"/>
      <x:c r="K1185" s="4"/>
      <x:c r="L1185" s="4"/>
      <x:c r="M1185" s="4"/>
      <x:c r="N1185" s="5"/>
    </x:row>
    <x:row r="1186" ht="24" customHeight="1">
      <x:c r="A1186" s="1" t="inlineStr">
        <x:is>
          <x:t xml:space="preserve">RESULT</x:t>
        </x:is>
      </x:c>
      <x:c r="B1186" s="1" t="inlineStr">
        <x:is>
          <x:t xml:space="preserve">Round2</x:t>
        </x:is>
      </x:c>
      <x:c r="C1186" s="1" t="inlineStr">
        <x:is>
          <x:t xml:space="preserve">Csv_11</x:t>
        </x:is>
      </x:c>
      <x:c r="D1186" s="1" t="inlineStr">
        <x:is>
          <x:t xml:space="preserve">NOT_AVAILABLE</x:t>
        </x:is>
      </x:c>
      <x:c r="E1186" s="5"/>
      <x:c r="F1186" s="4">
        <x:v>0</x:v>
      </x:c>
      <x:c r="G1186" s="4">
        <x:v>14515</x:v>
      </x:c>
      <x:c r="H1186" s="6">
        <x:v>83.06</x:v>
      </x:c>
      <x:c r="I1186" s="16">
        <x:v>1</x:v>
      </x:c>
      <x:c r="J1186"/>
      <x:c r="K1186" s="4"/>
      <x:c r="L1186" s="4"/>
      <x:c r="M1186" s="4"/>
      <x:c r="N1186" s="5"/>
    </x:row>
    <x:row r="1187" ht="24" customHeight="1">
      <x:c r="A1187" s="1" t="inlineStr">
        <x:is>
          <x:t xml:space="preserve">RESULT</x:t>
        </x:is>
      </x:c>
      <x:c r="B1187" s="1" t="inlineStr">
        <x:is>
          <x:t xml:space="preserve">Round2</x:t>
        </x:is>
      </x:c>
      <x:c r="C1187" s="1" t="inlineStr">
        <x:is>
          <x:t xml:space="preserve">Csv_12</x:t>
        </x:is>
      </x:c>
      <x:c r="D1187" s="1" t="inlineStr">
        <x:is>
          <x:t xml:space="preserve">INCONCLUSIVE</x:t>
        </x:is>
      </x:c>
      <x:c r="E1187" s="5">
        <x:v>0.7445999999999999</x:v>
      </x:c>
      <x:c r="F1187" s="4">
        <x:v>0</x:v>
      </x:c>
      <x:c r="G1187" s="4"/>
      <x:c r="H1187" s="6"/>
      <x:c r="I1187" s="16">
        <x:v>1</x:v>
      </x:c>
      <x:c r="J1187">
        <x:v>184</x:v>
      </x:c>
      <x:c r="K1187" s="4">
        <x:v>137</x:v>
      </x:c>
      <x:c r="L1187" s="4">
        <x:v>140</x:v>
      </x:c>
      <x:c r="M1187" s="4">
        <x:v>82</x:v>
      </x:c>
      <x:c r="N1187" s="5">
        <x:v>0.5857</x:v>
      </x:c>
    </x:row>
    <x:row r="1188" ht="24" customHeight="1">
      <x:c r="A1188" s="1" t="inlineStr">
        <x:is>
          <x:t xml:space="preserve">RESULT</x:t>
        </x:is>
      </x:c>
      <x:c r="B1188" s="1" t="inlineStr">
        <x:is>
          <x:t xml:space="preserve">Round2</x:t>
        </x:is>
      </x:c>
      <x:c r="C1188" s="1" t="inlineStr">
        <x:is>
          <x:t xml:space="preserve">Csv_13</x:t>
        </x:is>
      </x:c>
      <x:c r="D1188" s="1" t="inlineStr">
        <x:is>
          <x:t xml:space="preserve">NOT_AVAILABLE</x:t>
        </x:is>
      </x:c>
      <x:c r="E1188" s="5"/>
      <x:c r="F1188" s="4">
        <x:v>0</x:v>
      </x:c>
      <x:c r="G1188" s="4">
        <x:v>26765</x:v>
      </x:c>
      <x:c r="H1188" s="6">
        <x:v>163.83</x:v>
      </x:c>
      <x:c r="I1188" s="16">
        <x:v>1</x:v>
      </x:c>
      <x:c r="J1188"/>
      <x:c r="K1188" s="4"/>
      <x:c r="L1188" s="4"/>
      <x:c r="M1188" s="4"/>
      <x:c r="N1188" s="5"/>
    </x:row>
    <x:row r="1189" ht="24" customHeight="1">
      <x:c r="A1189" s="1" t="inlineStr">
        <x:is>
          <x:t xml:space="preserve">RESULT</x:t>
        </x:is>
      </x:c>
      <x:c r="B1189" s="1" t="inlineStr">
        <x:is>
          <x:t xml:space="preserve">Round2</x:t>
        </x:is>
      </x:c>
      <x:c r="C1189" s="1" t="inlineStr">
        <x:is>
          <x:t xml:space="preserve">Csv_14</x:t>
        </x:is>
      </x:c>
      <x:c r="D1189" s="1" t="inlineStr">
        <x:is>
          <x:t xml:space="preserve">NOT_AVAILABLE</x:t>
        </x:is>
      </x:c>
      <x:c r="E1189" s="5"/>
      <x:c r="F1189" s="4">
        <x:v>0</x:v>
      </x:c>
      <x:c r="G1189" s="4">
        <x:v>12004</x:v>
      </x:c>
      <x:c r="H1189" s="6">
        <x:v>44.8</x:v>
      </x:c>
      <x:c r="I1189" s="16">
        <x:v>1</x:v>
      </x:c>
      <x:c r="J1189"/>
      <x:c r="K1189" s="4"/>
      <x:c r="L1189" s="4"/>
      <x:c r="M1189" s="4"/>
      <x:c r="N1189" s="5"/>
    </x:row>
    <x:row r="1190" ht="24" customHeight="1">
      <x:c r="A1190" s="1" t="inlineStr">
        <x:is>
          <x:t xml:space="preserve">RESULT</x:t>
        </x:is>
      </x:c>
      <x:c r="B1190" s="1" t="inlineStr">
        <x:is>
          <x:t xml:space="preserve">Round2</x:t>
        </x:is>
      </x:c>
      <x:c r="C1190" s="1" t="inlineStr">
        <x:is>
          <x:t xml:space="preserve">Csv_15</x:t>
        </x:is>
      </x:c>
      <x:c r="D1190" s="1" t="inlineStr">
        <x:is>
          <x:t xml:space="preserve">INCONCLUSIVE</x:t>
        </x:is>
      </x:c>
      <x:c r="E1190" s="5">
        <x:v>0.6548999999999999</x:v>
      </x:c>
      <x:c r="F1190" s="4">
        <x:v>0</x:v>
      </x:c>
      <x:c r="G1190" s="4">
        <x:v>29090</x:v>
      </x:c>
      <x:c r="H1190" s="6">
        <x:v>1018.27</x:v>
      </x:c>
      <x:c r="I1190" s="16">
        <x:v>1</x:v>
      </x:c>
      <x:c r="J1190">
        <x:v>397</x:v>
      </x:c>
      <x:c r="K1190" s="4">
        <x:v>260</x:v>
      </x:c>
      <x:c r="L1190" s="4">
        <x:v>279</x:v>
      </x:c>
      <x:c r="M1190" s="4">
        <x:v>135</x:v>
      </x:c>
      <x:c r="N1190" s="5">
        <x:v>0.4839</x:v>
      </x:c>
    </x:row>
    <x:row r="1191" ht="24" customHeight="1">
      <x:c r="A1191" s="1" t="inlineStr">
        <x:is>
          <x:t xml:space="preserve">RESULT</x:t>
        </x:is>
      </x:c>
      <x:c r="B1191" s="1" t="inlineStr">
        <x:is>
          <x:t xml:space="preserve">Round2</x:t>
        </x:is>
      </x:c>
      <x:c r="C1191" s="1" t="inlineStr">
        <x:is>
          <x:t xml:space="preserve">Csv_16</x:t>
        </x:is>
      </x:c>
      <x:c r="D1191" s="1" t="inlineStr">
        <x:is>
          <x:t xml:space="preserve">INCONCLUSIVE</x:t>
        </x:is>
      </x:c>
      <x:c r="E1191" s="5">
        <x:v>0.6942</x:v>
      </x:c>
      <x:c r="F1191" s="4">
        <x:v>0</x:v>
      </x:c>
      <x:c r="G1191" s="4">
        <x:v>13793</x:v>
      </x:c>
      <x:c r="H1191" s="6">
        <x:v>76.21</x:v>
      </x:c>
      <x:c r="I1191" s="16">
        <x:v>1</x:v>
      </x:c>
      <x:c r="J1191">
        <x:v>121</x:v>
      </x:c>
      <x:c r="K1191" s="4">
        <x:v>84</x:v>
      </x:c>
      <x:c r="L1191" s="4">
        <x:v>68</x:v>
      </x:c>
      <x:c r="M1191" s="4">
        <x:v>42</x:v>
      </x:c>
      <x:c r="N1191" s="5">
        <x:v>0.6175999999999999</x:v>
      </x:c>
    </x:row>
    <x:row r="1192" ht="24" customHeight="1">
      <x:c r="A1192" s="1" t="inlineStr">
        <x:is>
          <x:t xml:space="preserve">RESULT</x:t>
        </x:is>
      </x:c>
      <x:c r="B1192" s="1" t="inlineStr">
        <x:is>
          <x:t xml:space="preserve">Round2</x:t>
        </x:is>
      </x:c>
      <x:c r="C1192" s="1" t="inlineStr">
        <x:is>
          <x:t xml:space="preserve">Csv_2</x:t>
        </x:is>
      </x:c>
      <x:c r="D1192" s="1" t="inlineStr">
        <x:is>
          <x:t xml:space="preserve">NOT_REVEALING</x:t>
        </x:is>
      </x:c>
      <x:c r="E1192" s="5">
        <x:v>1.0</x:v>
      </x:c>
      <x:c r="F1192" s="4">
        <x:v>0</x:v>
      </x:c>
      <x:c r="G1192" s="4"/>
      <x:c r="H1192" s="6"/>
      <x:c r="I1192" s="16">
        <x:v>1</x:v>
      </x:c>
      <x:c r="J1192">
        <x:v>21</x:v>
      </x:c>
      <x:c r="K1192" s="4">
        <x:v>21</x:v>
      </x:c>
      <x:c r="L1192" s="4">
        <x:v>16</x:v>
      </x:c>
      <x:c r="M1192" s="4">
        <x:v>16</x:v>
      </x:c>
      <x:c r="N1192" s="5">
        <x:v>1.0</x:v>
      </x:c>
    </x:row>
    <x:row r="1193" ht="24" customHeight="1">
      <x:c r="A1193" s="1" t="inlineStr">
        <x:is>
          <x:t xml:space="preserve">RESULT</x:t>
        </x:is>
      </x:c>
      <x:c r="B1193" s="1" t="inlineStr">
        <x:is>
          <x:t xml:space="preserve">Round2</x:t>
        </x:is>
      </x:c>
      <x:c r="C1193" s="1" t="inlineStr">
        <x:is>
          <x:t xml:space="preserve">Csv_3</x:t>
        </x:is>
      </x:c>
      <x:c r="D1193" s="1" t="inlineStr">
        <x:is>
          <x:t xml:space="preserve">NOT_AVAILABLE</x:t>
        </x:is>
      </x:c>
      <x:c r="E1193" s="5"/>
      <x:c r="F1193" s="4">
        <x:v>0</x:v>
      </x:c>
      <x:c r="G1193" s="4">
        <x:v>14015</x:v>
      </x:c>
      <x:c r="H1193" s="6">
        <x:v>122.45</x:v>
      </x:c>
      <x:c r="I1193" s="16">
        <x:v>1</x:v>
      </x:c>
      <x:c r="J1193"/>
      <x:c r="K1193" s="4"/>
      <x:c r="L1193" s="4"/>
      <x:c r="M1193" s="4"/>
      <x:c r="N1193" s="5"/>
    </x:row>
    <x:row r="1194" ht="24" customHeight="1">
      <x:c r="A1194" s="1" t="inlineStr">
        <x:is>
          <x:t xml:space="preserve">RESULT</x:t>
        </x:is>
      </x:c>
      <x:c r="B1194" s="1" t="inlineStr">
        <x:is>
          <x:t xml:space="preserve">Round2</x:t>
        </x:is>
      </x:c>
      <x:c r="C1194" s="1" t="inlineStr">
        <x:is>
          <x:t xml:space="preserve">Csv_4</x:t>
        </x:is>
      </x:c>
      <x:c r="D1194" s="1" t="inlineStr">
        <x:is>
          <x:t xml:space="preserve">NOT_AVAILABLE</x:t>
        </x:is>
      </x:c>
      <x:c r="E1194" s="5"/>
      <x:c r="F1194" s="4">
        <x:v>0</x:v>
      </x:c>
      <x:c r="G1194" s="4">
        <x:v>11009</x:v>
      </x:c>
      <x:c r="H1194" s="6">
        <x:v>55.46</x:v>
      </x:c>
      <x:c r="I1194" s="16">
        <x:v>1</x:v>
      </x:c>
      <x:c r="J1194"/>
      <x:c r="K1194" s="4"/>
      <x:c r="L1194" s="4"/>
      <x:c r="M1194" s="4"/>
      <x:c r="N1194" s="5"/>
    </x:row>
    <x:row r="1195" ht="24" customHeight="1">
      <x:c r="A1195" s="1" t="inlineStr">
        <x:is>
          <x:t xml:space="preserve">RESULT</x:t>
        </x:is>
      </x:c>
      <x:c r="B1195" s="1" t="inlineStr">
        <x:is>
          <x:t xml:space="preserve">Round2</x:t>
        </x:is>
      </x:c>
      <x:c r="C1195" s="1" t="inlineStr">
        <x:is>
          <x:t xml:space="preserve">Csv_5</x:t>
        </x:is>
      </x:c>
      <x:c r="D1195" s="1" t="inlineStr">
        <x:is>
          <x:t xml:space="preserve">NOT_AVAILABLE</x:t>
        </x:is>
      </x:c>
      <x:c r="E1195" s="5"/>
      <x:c r="F1195" s="4">
        <x:v>0</x:v>
      </x:c>
      <x:c r="G1195" s="4">
        <x:v>26189</x:v>
      </x:c>
      <x:c r="H1195" s="6">
        <x:v>1103.01</x:v>
      </x:c>
      <x:c r="I1195" s="16">
        <x:v>1</x:v>
      </x:c>
      <x:c r="J1195"/>
      <x:c r="K1195" s="4"/>
      <x:c r="L1195" s="4"/>
      <x:c r="M1195" s="4"/>
      <x:c r="N1195" s="5"/>
    </x:row>
    <x:row r="1196" ht="24" customHeight="1">
      <x:c r="A1196" s="1" t="inlineStr">
        <x:is>
          <x:t xml:space="preserve">RESULT</x:t>
        </x:is>
      </x:c>
      <x:c r="B1196" s="1" t="inlineStr">
        <x:is>
          <x:t xml:space="preserve">Round2</x:t>
        </x:is>
      </x:c>
      <x:c r="C1196" s="1" t="inlineStr">
        <x:is>
          <x:t xml:space="preserve">Csv_6</x:t>
        </x:is>
      </x:c>
      <x:c r="D1196" s="1" t="inlineStr">
        <x:is>
          <x:t xml:space="preserve">INCONCLUSIVE</x:t>
        </x:is>
      </x:c>
      <x:c r="E1196" s="5">
        <x:v>0.8856999999999999</x:v>
      </x:c>
      <x:c r="F1196" s="4">
        <x:v>0</x:v>
      </x:c>
      <x:c r="G1196" s="4"/>
      <x:c r="H1196" s="6"/>
      <x:c r="I1196" s="16">
        <x:v>1</x:v>
      </x:c>
      <x:c r="J1196">
        <x:v>35</x:v>
      </x:c>
      <x:c r="K1196" s="4">
        <x:v>31</x:v>
      </x:c>
      <x:c r="L1196" s="4">
        <x:v>18</x:v>
      </x:c>
      <x:c r="M1196" s="4">
        <x:v>15</x:v>
      </x:c>
      <x:c r="N1196" s="5">
        <x:v>0.8332999999999999</x:v>
      </x:c>
    </x:row>
    <x:row r="1197" ht="24" customHeight="1">
      <x:c r="A1197" s="1" t="inlineStr">
        <x:is>
          <x:t xml:space="preserve">RESULT</x:t>
        </x:is>
      </x:c>
      <x:c r="B1197" s="1" t="inlineStr">
        <x:is>
          <x:t xml:space="preserve">Round2</x:t>
        </x:is>
      </x:c>
      <x:c r="C1197" s="1" t="inlineStr">
        <x:is>
          <x:t xml:space="preserve">Csv_7</x:t>
        </x:is>
      </x:c>
      <x:c r="D1197" s="1" t="inlineStr">
        <x:is>
          <x:t xml:space="preserve">INCONCLUSIVE</x:t>
        </x:is>
      </x:c>
      <x:c r="E1197" s="5">
        <x:v>0.7723</x:v>
      </x:c>
      <x:c r="F1197" s="4">
        <x:v>0</x:v>
      </x:c>
      <x:c r="G1197" s="4"/>
      <x:c r="H1197" s="6"/>
      <x:c r="I1197" s="16">
        <x:v>1</x:v>
      </x:c>
      <x:c r="J1197">
        <x:v>101</x:v>
      </x:c>
      <x:c r="K1197" s="4">
        <x:v>78</x:v>
      </x:c>
      <x:c r="L1197" s="4">
        <x:v>50</x:v>
      </x:c>
      <x:c r="M1197" s="4">
        <x:v>34</x:v>
      </x:c>
      <x:c r="N1197" s="5">
        <x:v>0.68</x:v>
      </x:c>
    </x:row>
    <x:row r="1198" ht="24" customHeight="1">
      <x:c r="A1198" s="1" t="inlineStr">
        <x:is>
          <x:t xml:space="preserve">RESULT</x:t>
        </x:is>
      </x:c>
      <x:c r="B1198" s="1" t="inlineStr">
        <x:is>
          <x:t xml:space="preserve">Round2</x:t>
        </x:is>
      </x:c>
      <x:c r="C1198" s="1" t="inlineStr">
        <x:is>
          <x:t xml:space="preserve">Csv_8</x:t>
        </x:is>
      </x:c>
      <x:c r="D1198" s="1" t="inlineStr">
        <x:is>
          <x:t xml:space="preserve">INCONCLUSIVE</x:t>
        </x:is>
      </x:c>
      <x:c r="E1198" s="5">
        <x:v>0.8436</x:v>
      </x:c>
      <x:c r="F1198" s="4">
        <x:v>0</x:v>
      </x:c>
      <x:c r="G1198" s="4">
        <x:v>7905</x:v>
      </x:c>
      <x:c r="H1198" s="6">
        <x:v>34.6</x:v>
      </x:c>
      <x:c r="I1198" s="16">
        <x:v>1</x:v>
      </x:c>
      <x:c r="J1198">
        <x:v>179</x:v>
      </x:c>
      <x:c r="K1198" s="4">
        <x:v>151</x:v>
      </x:c>
      <x:c r="L1198" s="4">
        <x:v>140</x:v>
      </x:c>
      <x:c r="M1198" s="4">
        <x:v>96</x:v>
      </x:c>
      <x:c r="N1198" s="5">
        <x:v>0.6857</x:v>
      </x:c>
    </x:row>
    <x:row r="1199" ht="24" customHeight="1">
      <x:c r="A1199" s="1" t="inlineStr">
        <x:is>
          <x:t xml:space="preserve">RESULT</x:t>
        </x:is>
      </x:c>
      <x:c r="B1199" s="1" t="inlineStr">
        <x:is>
          <x:t xml:space="preserve">Round2</x:t>
        </x:is>
      </x:c>
      <x:c r="C1199" s="1" t="inlineStr">
        <x:is>
          <x:t xml:space="preserve">Csv_9</x:t>
        </x:is>
      </x:c>
      <x:c r="D1199" s="1" t="inlineStr">
        <x:is>
          <x:t xml:space="preserve">INCONCLUSIVE</x:t>
        </x:is>
      </x:c>
      <x:c r="E1199" s="5">
        <x:v>1.0</x:v>
      </x:c>
      <x:c r="F1199" s="4">
        <x:v>0</x:v>
      </x:c>
      <x:c r="G1199" s="4"/>
      <x:c r="H1199" s="6"/>
      <x:c r="I1199" s="16">
        <x:v>1</x:v>
      </x:c>
      <x:c r="J1199">
        <x:v>36</x:v>
      </x:c>
      <x:c r="K1199" s="4">
        <x:v>36</x:v>
      </x:c>
      <x:c r="L1199" s="4">
        <x:v>22</x:v>
      </x:c>
      <x:c r="M1199" s="4">
        <x:v>21</x:v>
      </x:c>
      <x:c r="N1199" s="5">
        <x:v>0.9545</x:v>
      </x:c>
    </x:row>
    <x:row r="1200" ht="24" customHeight="1">
      <x:c r="A1200" s="1" t="inlineStr">
        <x:is>
          <x:t xml:space="preserve">RESULT</x:t>
        </x:is>
      </x:c>
      <x:c r="B1200" s="1" t="inlineStr">
        <x:is>
          <x:t xml:space="preserve">Round2</x:t>
        </x:is>
      </x:c>
      <x:c r="C1200" s="1" t="inlineStr">
        <x:is>
          <x:t xml:space="preserve">Gson_1</x:t>
        </x:is>
      </x:c>
      <x:c r="D1200" s="1" t="inlineStr">
        <x:is>
          <x:t xml:space="preserve">INCONCLUSIVE</x:t>
        </x:is>
      </x:c>
      <x:c r="E1200" s="5">
        <x:v>0.6383</x:v>
      </x:c>
      <x:c r="F1200" s="4">
        <x:v>0</x:v>
      </x:c>
      <x:c r="G1200" s="4"/>
      <x:c r="H1200" s="6"/>
      <x:c r="I1200" s="16">
        <x:v>1</x:v>
      </x:c>
      <x:c r="J1200">
        <x:v>47</x:v>
      </x:c>
      <x:c r="K1200" s="4">
        <x:v>30</x:v>
      </x:c>
      <x:c r="L1200" s="4">
        <x:v>22</x:v>
      </x:c>
      <x:c r="M1200" s="4">
        <x:v>12</x:v>
      </x:c>
      <x:c r="N1200" s="5">
        <x:v>0.5455</x:v>
      </x:c>
    </x:row>
    <x:row r="1201" ht="24" customHeight="1">
      <x:c r="A1201" s="1" t="inlineStr">
        <x:is>
          <x:t xml:space="preserve">RESULT</x:t>
        </x:is>
      </x:c>
      <x:c r="B1201" s="1" t="inlineStr">
        <x:is>
          <x:t xml:space="preserve">Round2</x:t>
        </x:is>
      </x:c>
      <x:c r="C1201" s="1" t="inlineStr">
        <x:is>
          <x:t xml:space="preserve">Gson_10</x:t>
        </x:is>
      </x:c>
      <x:c r="D1201" s="1" t="inlineStr">
        <x:is>
          <x:t xml:space="preserve">NOT_AVAILABLE</x:t>
        </x:is>
      </x:c>
      <x:c r="E1201" s="5"/>
      <x:c r="F1201" s="4">
        <x:v>0</x:v>
      </x:c>
      <x:c r="G1201" s="4">
        <x:v>9785</x:v>
      </x:c>
      <x:c r="H1201" s="6">
        <x:v>56.99</x:v>
      </x:c>
      <x:c r="I1201" s="16">
        <x:v>1</x:v>
      </x:c>
      <x:c r="J1201"/>
      <x:c r="K1201" s="4"/>
      <x:c r="L1201" s="4"/>
      <x:c r="M1201" s="4"/>
      <x:c r="N1201" s="5"/>
    </x:row>
    <x:row r="1202" ht="24" customHeight="1">
      <x:c r="A1202" s="1" t="inlineStr">
        <x:is>
          <x:t xml:space="preserve">RESULT</x:t>
        </x:is>
      </x:c>
      <x:c r="B1202" s="1" t="inlineStr">
        <x:is>
          <x:t xml:space="preserve">Round2</x:t>
        </x:is>
      </x:c>
      <x:c r="C1202" s="1" t="inlineStr">
        <x:is>
          <x:t xml:space="preserve">Gson_11</x:t>
        </x:is>
      </x:c>
      <x:c r="D1202" s="1" t="inlineStr">
        <x:is>
          <x:t xml:space="preserve">INCONCLUSIVE</x:t>
        </x:is>
      </x:c>
      <x:c r="E1202" s="5">
        <x:v>0.838</x:v>
      </x:c>
      <x:c r="F1202" s="4">
        <x:v>0</x:v>
      </x:c>
      <x:c r="G1202" s="4">
        <x:v>23224</x:v>
      </x:c>
      <x:c r="H1202" s="6">
        <x:v>106.9</x:v>
      </x:c>
      <x:c r="I1202" s="16">
        <x:v>1</x:v>
      </x:c>
      <x:c r="J1202">
        <x:v>500</x:v>
      </x:c>
      <x:c r="K1202" s="4">
        <x:v>419</x:v>
      </x:c>
      <x:c r="L1202" s="4">
        <x:v>196</x:v>
      </x:c>
      <x:c r="M1202" s="4">
        <x:v>157</x:v>
      </x:c>
      <x:c r="N1202" s="5">
        <x:v>0.8009999999999999</x:v>
      </x:c>
    </x:row>
    <x:row r="1203" ht="24" customHeight="1">
      <x:c r="A1203" s="1" t="inlineStr">
        <x:is>
          <x:t xml:space="preserve">RESULT</x:t>
        </x:is>
      </x:c>
      <x:c r="B1203" s="1" t="inlineStr">
        <x:is>
          <x:t xml:space="preserve">Round2</x:t>
        </x:is>
      </x:c>
      <x:c r="C1203" s="1" t="inlineStr">
        <x:is>
          <x:t xml:space="preserve">Gson_12</x:t>
        </x:is>
      </x:c>
      <x:c r="D1203" s="1" t="inlineStr">
        <x:is>
          <x:t xml:space="preserve">NOT_REVEALING</x:t>
        </x:is>
      </x:c>
      <x:c r="E1203" s="5">
        <x:v>0.875</x:v>
      </x:c>
      <x:c r="F1203" s="4">
        <x:v>0</x:v>
      </x:c>
      <x:c r="G1203" s="4">
        <x:v>8524</x:v>
      </x:c>
      <x:c r="H1203" s="6">
        <x:v>64.96</x:v>
      </x:c>
      <x:c r="I1203" s="16">
        <x:v>1</x:v>
      </x:c>
      <x:c r="J1203">
        <x:v>168</x:v>
      </x:c>
      <x:c r="K1203" s="4">
        <x:v>147</x:v>
      </x:c>
      <x:c r="L1203" s="4">
        <x:v>86</x:v>
      </x:c>
      <x:c r="M1203" s="4">
        <x:v>64</x:v>
      </x:c>
      <x:c r="N1203" s="5">
        <x:v>0.7442</x:v>
      </x:c>
    </x:row>
    <x:row r="1204" ht="24" customHeight="1">
      <x:c r="A1204" s="1" t="inlineStr">
        <x:is>
          <x:t xml:space="preserve">RESULT</x:t>
        </x:is>
      </x:c>
      <x:c r="B1204" s="1" t="inlineStr">
        <x:is>
          <x:t xml:space="preserve">Round2</x:t>
        </x:is>
      </x:c>
      <x:c r="C1204" s="1" t="inlineStr">
        <x:is>
          <x:t xml:space="preserve">Gson_13</x:t>
        </x:is>
      </x:c>
      <x:c r="D1204" s="1" t="inlineStr">
        <x:is>
          <x:t xml:space="preserve">INCONCLUSIVE</x:t>
        </x:is>
      </x:c>
      <x:c r="E1204" s="5">
        <x:v>0.6223</x:v>
      </x:c>
      <x:c r="F1204" s="4">
        <x:v>0</x:v>
      </x:c>
      <x:c r="G1204" s="4">
        <x:v>13237</x:v>
      </x:c>
      <x:c r="H1204" s="6">
        <x:v>28.06</x:v>
      </x:c>
      <x:c r="I1204" s="16">
        <x:v>1</x:v>
      </x:c>
      <x:c r="J1204">
        <x:v>683</x:v>
      </x:c>
      <x:c r="K1204" s="4">
        <x:v>425</x:v>
      </x:c>
      <x:c r="L1204" s="4">
        <x:v>484</x:v>
      </x:c>
      <x:c r="M1204" s="4">
        <x:v>246</x:v>
      </x:c>
      <x:c r="N1204" s="5">
        <x:v>0.5083</x:v>
      </x:c>
    </x:row>
    <x:row r="1205" ht="24" customHeight="1">
      <x:c r="A1205" s="1" t="inlineStr">
        <x:is>
          <x:t xml:space="preserve">RESULT</x:t>
        </x:is>
      </x:c>
      <x:c r="B1205" s="1" t="inlineStr">
        <x:is>
          <x:t xml:space="preserve">Round2</x:t>
        </x:is>
      </x:c>
      <x:c r="C1205" s="1" t="inlineStr">
        <x:is>
          <x:t xml:space="preserve">Gson_14</x:t>
        </x:is>
      </x:c>
      <x:c r="D1205" s="1" t="inlineStr">
        <x:is>
          <x:t xml:space="preserve">INCONCLUSIVE</x:t>
        </x:is>
      </x:c>
      <x:c r="E1205" s="5">
        <x:v>0.7940999999999999</x:v>
      </x:c>
      <x:c r="F1205" s="4">
        <x:v>0</x:v>
      </x:c>
      <x:c r="G1205" s="4">
        <x:v>33611</x:v>
      </x:c>
      <x:c r="H1205" s="6">
        <x:v>135.92</x:v>
      </x:c>
      <x:c r="I1205" s="16">
        <x:v>1</x:v>
      </x:c>
      <x:c r="J1205">
        <x:v>238</x:v>
      </x:c>
      <x:c r="K1205" s="4">
        <x:v>189</x:v>
      </x:c>
      <x:c r="L1205" s="4">
        <x:v>190</x:v>
      </x:c>
      <x:c r="M1205" s="4">
        <x:v>123</x:v>
      </x:c>
      <x:c r="N1205" s="5">
        <x:v>0.6474</x:v>
      </x:c>
    </x:row>
    <x:row r="1206" ht="24" customHeight="1">
      <x:c r="A1206" s="1" t="inlineStr">
        <x:is>
          <x:t xml:space="preserve">RESULT</x:t>
        </x:is>
      </x:c>
      <x:c r="B1206" s="1" t="inlineStr">
        <x:is>
          <x:t xml:space="preserve">Round2</x:t>
        </x:is>
      </x:c>
      <x:c r="C1206" s="1" t="inlineStr">
        <x:is>
          <x:t xml:space="preserve">Gson_15</x:t>
        </x:is>
      </x:c>
      <x:c r="D1206" s="1" t="inlineStr">
        <x:is>
          <x:t xml:space="preserve">INCONCLUSIVE</x:t>
        </x:is>
      </x:c>
      <x:c r="E1206" s="5">
        <x:v>0.7828</x:v>
      </x:c>
      <x:c r="F1206" s="4">
        <x:v>0</x:v>
      </x:c>
      <x:c r="G1206" s="4">
        <x:v>8407</x:v>
      </x:c>
      <x:c r="H1206" s="6">
        <x:v>26.11</x:v>
      </x:c>
      <x:c r="I1206" s="16">
        <x:v>1</x:v>
      </x:c>
      <x:c r="J1206">
        <x:v>198</x:v>
      </x:c>
      <x:c r="K1206" s="4">
        <x:v>155</x:v>
      </x:c>
      <x:c r="L1206" s="4">
        <x:v>92</x:v>
      </x:c>
      <x:c r="M1206" s="4">
        <x:v>56</x:v>
      </x:c>
      <x:c r="N1206" s="5">
        <x:v>0.6087</x:v>
      </x:c>
    </x:row>
    <x:row r="1207" ht="24" customHeight="1">
      <x:c r="A1207" s="1" t="inlineStr">
        <x:is>
          <x:t xml:space="preserve">RESULT</x:t>
        </x:is>
      </x:c>
      <x:c r="B1207" s="1" t="inlineStr">
        <x:is>
          <x:t xml:space="preserve">Round2</x:t>
        </x:is>
      </x:c>
      <x:c r="C1207" s="1" t="inlineStr">
        <x:is>
          <x:t xml:space="preserve">Gson_16</x:t>
        </x:is>
      </x:c>
      <x:c r="D1207" s="1" t="inlineStr">
        <x:is>
          <x:t xml:space="preserve">NOT_REVEALING</x:t>
        </x:is>
      </x:c>
      <x:c r="E1207" s="5">
        <x:v>0.8354</x:v>
      </x:c>
      <x:c r="F1207" s="4">
        <x:v>0</x:v>
      </x:c>
      <x:c r="G1207" s="4">
        <x:v>31648</x:v>
      </x:c>
      <x:c r="H1207" s="6">
        <x:v>132.2</x:v>
      </x:c>
      <x:c r="I1207" s="16">
        <x:v>1</x:v>
      </x:c>
      <x:c r="J1207">
        <x:v>243</x:v>
      </x:c>
      <x:c r="K1207" s="4">
        <x:v>203</x:v>
      </x:c>
      <x:c r="L1207" s="4">
        <x:v>194</x:v>
      </x:c>
      <x:c r="M1207" s="4">
        <x:v>129</x:v>
      </x:c>
      <x:c r="N1207" s="5">
        <x:v>0.6648999999999999</x:v>
      </x:c>
    </x:row>
    <x:row r="1208" ht="24" customHeight="1">
      <x:c r="A1208" s="1" t="inlineStr">
        <x:is>
          <x:t xml:space="preserve">RESULT</x:t>
        </x:is>
      </x:c>
      <x:c r="B1208" s="1" t="inlineStr">
        <x:is>
          <x:t xml:space="preserve">Round2</x:t>
        </x:is>
      </x:c>
      <x:c r="C1208" s="1" t="inlineStr">
        <x:is>
          <x:t xml:space="preserve">Gson_17</x:t>
        </x:is>
      </x:c>
      <x:c r="D1208" s="1" t="inlineStr">
        <x:is>
          <x:t xml:space="preserve">NOT_AVAILABLE</x:t>
        </x:is>
      </x:c>
      <x:c r="E1208" s="5"/>
      <x:c r="F1208" s="4">
        <x:v>0</x:v>
      </x:c>
      <x:c r="G1208" s="4">
        <x:v>11566</x:v>
      </x:c>
      <x:c r="H1208" s="6">
        <x:v>80.92</x:v>
      </x:c>
      <x:c r="I1208" s="16">
        <x:v>1</x:v>
      </x:c>
      <x:c r="J1208"/>
      <x:c r="K1208" s="4"/>
      <x:c r="L1208" s="4"/>
      <x:c r="M1208" s="4"/>
      <x:c r="N1208" s="5"/>
    </x:row>
    <x:row r="1209" ht="24" customHeight="1">
      <x:c r="A1209" s="1" t="inlineStr">
        <x:is>
          <x:t xml:space="preserve">RESULT</x:t>
        </x:is>
      </x:c>
      <x:c r="B1209" s="1" t="inlineStr">
        <x:is>
          <x:t xml:space="preserve">Round2</x:t>
        </x:is>
      </x:c>
      <x:c r="C1209" s="1" t="inlineStr">
        <x:is>
          <x:t xml:space="preserve">Gson_18</x:t>
        </x:is>
      </x:c>
      <x:c r="D1209" s="1" t="inlineStr">
        <x:is>
          <x:t xml:space="preserve">NOT_AVAILABLE</x:t>
        </x:is>
      </x:c>
      <x:c r="E1209" s="5"/>
      <x:c r="F1209" s="4">
        <x:v>0</x:v>
      </x:c>
      <x:c r="G1209" s="4">
        <x:v>16257</x:v>
      </x:c>
      <x:c r="H1209" s="6">
        <x:v>87.3</x:v>
      </x:c>
      <x:c r="I1209" s="16">
        <x:v>1</x:v>
      </x:c>
      <x:c r="J1209"/>
      <x:c r="K1209" s="4"/>
      <x:c r="L1209" s="4"/>
      <x:c r="M1209" s="4"/>
      <x:c r="N1209" s="5"/>
    </x:row>
    <x:row r="1210" ht="24" customHeight="1">
      <x:c r="A1210" s="1" t="inlineStr">
        <x:is>
          <x:t xml:space="preserve">RESULT</x:t>
        </x:is>
      </x:c>
      <x:c r="B1210" s="1" t="inlineStr">
        <x:is>
          <x:t xml:space="preserve">Round2</x:t>
        </x:is>
      </x:c>
      <x:c r="C1210" s="1" t="inlineStr">
        <x:is>
          <x:t xml:space="preserve">Gson_2</x:t>
        </x:is>
      </x:c>
      <x:c r="D1210" s="1" t="inlineStr">
        <x:is>
          <x:t xml:space="preserve">NOT_AVAILABLE</x:t>
        </x:is>
      </x:c>
      <x:c r="E1210" s="5"/>
      <x:c r="F1210" s="4">
        <x:v>0</x:v>
      </x:c>
      <x:c r="G1210" s="4">
        <x:v>15371</x:v>
      </x:c>
      <x:c r="H1210" s="6">
        <x:v>67.57</x:v>
      </x:c>
      <x:c r="I1210" s="16">
        <x:v>1</x:v>
      </x:c>
      <x:c r="J1210"/>
      <x:c r="K1210" s="4"/>
      <x:c r="L1210" s="4"/>
      <x:c r="M1210" s="4"/>
      <x:c r="N1210" s="5"/>
    </x:row>
    <x:row r="1211" ht="24" customHeight="1">
      <x:c r="A1211" s="1" t="inlineStr">
        <x:is>
          <x:t xml:space="preserve">RESULT</x:t>
        </x:is>
      </x:c>
      <x:c r="B1211" s="1" t="inlineStr">
        <x:is>
          <x:t xml:space="preserve">Round2</x:t>
        </x:is>
      </x:c>
      <x:c r="C1211" s="1" t="inlineStr">
        <x:is>
          <x:t xml:space="preserve">Gson_3</x:t>
        </x:is>
      </x:c>
      <x:c r="D1211" s="1" t="inlineStr">
        <x:is>
          <x:t xml:space="preserve">INCONCLUSIVE</x:t>
        </x:is>
      </x:c>
      <x:c r="E1211" s="5">
        <x:v>0.7093</x:v>
      </x:c>
      <x:c r="F1211" s="4">
        <x:v>0</x:v>
      </x:c>
      <x:c r="G1211" s="4"/>
      <x:c r="H1211" s="6"/>
      <x:c r="I1211" s="16">
        <x:v>1</x:v>
      </x:c>
      <x:c r="J1211">
        <x:v>86</x:v>
      </x:c>
      <x:c r="K1211" s="4">
        <x:v>61</x:v>
      </x:c>
      <x:c r="L1211" s="4">
        <x:v>32</x:v>
      </x:c>
      <x:c r="M1211" s="4">
        <x:v>21</x:v>
      </x:c>
      <x:c r="N1211" s="5">
        <x:v>0.6562</x:v>
      </x:c>
    </x:row>
    <x:row r="1212" ht="24" customHeight="1">
      <x:c r="A1212" s="1" t="inlineStr">
        <x:is>
          <x:t xml:space="preserve">RESULT</x:t>
        </x:is>
      </x:c>
      <x:c r="B1212" s="1" t="inlineStr">
        <x:is>
          <x:t xml:space="preserve">Round2</x:t>
        </x:is>
      </x:c>
      <x:c r="C1212" s="1" t="inlineStr">
        <x:is>
          <x:t xml:space="preserve">Gson_4</x:t>
        </x:is>
      </x:c>
      <x:c r="D1212" s="1" t="inlineStr">
        <x:is>
          <x:t xml:space="preserve">INCONCLUSIVE</x:t>
        </x:is>
      </x:c>
      <x:c r="E1212" s="5">
        <x:v>0.6247</x:v>
      </x:c>
      <x:c r="F1212" s="4">
        <x:v>0</x:v>
      </x:c>
      <x:c r="G1212" s="4">
        <x:v>35328</x:v>
      </x:c>
      <x:c r="H1212" s="6">
        <x:v>147.18</x:v>
      </x:c>
      <x:c r="I1212" s="16">
        <x:v>1</x:v>
      </x:c>
      <x:c r="J1212">
        <x:v>882</x:v>
      </x:c>
      <x:c r="K1212" s="4">
        <x:v>551</x:v>
      </x:c>
      <x:c r="L1212" s="4">
        <x:v>565</x:v>
      </x:c>
      <x:c r="M1212" s="4">
        <x:v>275</x:v>
      </x:c>
      <x:c r="N1212" s="5">
        <x:v>0.4867</x:v>
      </x:c>
    </x:row>
    <x:row r="1213" ht="24" customHeight="1">
      <x:c r="A1213" s="1" t="inlineStr">
        <x:is>
          <x:t xml:space="preserve">RESULT</x:t>
        </x:is>
      </x:c>
      <x:c r="B1213" s="1" t="inlineStr">
        <x:is>
          <x:t xml:space="preserve">Round2</x:t>
        </x:is>
      </x:c>
      <x:c r="C1213" s="1" t="inlineStr">
        <x:is>
          <x:t xml:space="preserve">Gson_5</x:t>
        </x:is>
      </x:c>
      <x:c r="D1213" s="1" t="inlineStr">
        <x:is>
          <x:t xml:space="preserve">INCONCLUSIVE</x:t>
        </x:is>
      </x:c>
      <x:c r="E1213" s="5">
        <x:v>0.9</x:v>
      </x:c>
      <x:c r="F1213" s="4">
        <x:v>0</x:v>
      </x:c>
      <x:c r="G1213" s="4"/>
      <x:c r="H1213" s="6"/>
      <x:c r="I1213" s="16">
        <x:v>1</x:v>
      </x:c>
      <x:c r="J1213">
        <x:v>150</x:v>
      </x:c>
      <x:c r="K1213" s="4">
        <x:v>135</x:v>
      </x:c>
      <x:c r="L1213" s="4">
        <x:v>89</x:v>
      </x:c>
      <x:c r="M1213" s="4">
        <x:v>67</x:v>
      </x:c>
      <x:c r="N1213" s="5">
        <x:v>0.7528</x:v>
      </x:c>
    </x:row>
    <x:row r="1214" ht="24" customHeight="1">
      <x:c r="A1214" s="1" t="inlineStr">
        <x:is>
          <x:t xml:space="preserve">RESULT</x:t>
        </x:is>
      </x:c>
      <x:c r="B1214" s="1" t="inlineStr">
        <x:is>
          <x:t xml:space="preserve">Round2</x:t>
        </x:is>
      </x:c>
      <x:c r="C1214" s="1" t="inlineStr">
        <x:is>
          <x:t xml:space="preserve">Gson_6</x:t>
        </x:is>
      </x:c>
      <x:c r="D1214" s="1" t="inlineStr">
        <x:is>
          <x:t xml:space="preserve">NOT_AVAILABLE</x:t>
        </x:is>
      </x:c>
      <x:c r="E1214" s="5"/>
      <x:c r="F1214" s="4">
        <x:v>0</x:v>
      </x:c>
      <x:c r="G1214" s="4">
        <x:v>5614</x:v>
      </x:c>
      <x:c r="H1214" s="6">
        <x:v>35.82</x:v>
      </x:c>
      <x:c r="I1214" s="16">
        <x:v>1</x:v>
      </x:c>
      <x:c r="J1214"/>
      <x:c r="K1214" s="4"/>
      <x:c r="L1214" s="4"/>
      <x:c r="M1214" s="4"/>
      <x:c r="N1214" s="5"/>
    </x:row>
    <x:row r="1215" ht="24" customHeight="1">
      <x:c r="A1215" s="1" t="inlineStr">
        <x:is>
          <x:t xml:space="preserve">RESULT</x:t>
        </x:is>
      </x:c>
      <x:c r="B1215" s="1" t="inlineStr">
        <x:is>
          <x:t xml:space="preserve">Round2</x:t>
        </x:is>
      </x:c>
      <x:c r="C1215" s="1" t="inlineStr">
        <x:is>
          <x:t xml:space="preserve">Gson_7</x:t>
        </x:is>
      </x:c>
      <x:c r="D1215" s="1" t="inlineStr">
        <x:is>
          <x:t xml:space="preserve">NOT_REVEALING</x:t>
        </x:is>
      </x:c>
      <x:c r="E1215" s="5">
        <x:v>0.6681</x:v>
      </x:c>
      <x:c r="F1215" s="4">
        <x:v>0</x:v>
      </x:c>
      <x:c r="G1215" s="4">
        <x:v>18765</x:v>
      </x:c>
      <x:c r="H1215" s="6">
        <x:v>69.64</x:v>
      </x:c>
      <x:c r="I1215" s="16">
        <x:v>1</x:v>
      </x:c>
      <x:c r="J1215">
        <x:v>684</x:v>
      </x:c>
      <x:c r="K1215" s="4">
        <x:v>457</x:v>
      </x:c>
      <x:c r="L1215" s="4">
        <x:v>469</x:v>
      </x:c>
      <x:c r="M1215" s="4">
        <x:v>254</x:v>
      </x:c>
      <x:c r="N1215" s="5">
        <x:v>0.5416</x:v>
      </x:c>
    </x:row>
    <x:row r="1216" ht="24" customHeight="1">
      <x:c r="A1216" s="1" t="inlineStr">
        <x:is>
          <x:t xml:space="preserve">RESULT</x:t>
        </x:is>
      </x:c>
      <x:c r="B1216" s="1" t="inlineStr">
        <x:is>
          <x:t xml:space="preserve">Round2</x:t>
        </x:is>
      </x:c>
      <x:c r="C1216" s="1" t="inlineStr">
        <x:is>
          <x:t xml:space="preserve">Gson_8</x:t>
        </x:is>
      </x:c>
      <x:c r="D1216" s="1" t="inlineStr">
        <x:is>
          <x:t xml:space="preserve">NOT_REVEALING</x:t>
        </x:is>
      </x:c>
      <x:c r="E1216" s="5">
        <x:v>0.0</x:v>
      </x:c>
      <x:c r="F1216" s="4">
        <x:v>0</x:v>
      </x:c>
      <x:c r="G1216" s="4"/>
      <x:c r="H1216" s="6"/>
      <x:c r="I1216" s="16">
        <x:v>1</x:v>
      </x:c>
      <x:c r="J1216">
        <x:v>31</x:v>
      </x:c>
      <x:c r="K1216" s="4">
        <x:v>0</x:v>
      </x:c>
      <x:c r="L1216" s="4">
        <x:v>0</x:v>
      </x:c>
      <x:c r="M1216" s="4">
        <x:v>0</x:v>
      </x:c>
      <x:c r="N1216" s="5"/>
    </x:row>
    <x:row r="1217" ht="24" customHeight="1">
      <x:c r="A1217" s="1" t="inlineStr">
        <x:is>
          <x:t xml:space="preserve">RESULT</x:t>
        </x:is>
      </x:c>
      <x:c r="B1217" s="1" t="inlineStr">
        <x:is>
          <x:t xml:space="preserve">Round2</x:t>
        </x:is>
      </x:c>
      <x:c r="C1217" s="1" t="inlineStr">
        <x:is>
          <x:t xml:space="preserve">Gson_9</x:t>
        </x:is>
      </x:c>
      <x:c r="D1217" s="1" t="inlineStr">
        <x:is>
          <x:t xml:space="preserve">NOT_AVAILABLE</x:t>
        </x:is>
      </x:c>
      <x:c r="E1217" s="5"/>
      <x:c r="F1217" s="4">
        <x:v>0</x:v>
      </x:c>
      <x:c r="G1217" s="4">
        <x:v>29700</x:v>
      </x:c>
      <x:c r="H1217" s="6">
        <x:v>139.85</x:v>
      </x:c>
      <x:c r="I1217" s="16">
        <x:v>1</x:v>
      </x:c>
      <x:c r="J1217"/>
      <x:c r="K1217" s="4"/>
      <x:c r="L1217" s="4"/>
      <x:c r="M1217" s="4"/>
      <x:c r="N1217" s="5"/>
    </x:row>
    <x:row r="1218" ht="24" customHeight="1">
      <x:c r="A1218" s="1" t="inlineStr">
        <x:is>
          <x:t xml:space="preserve">RESULT</x:t>
        </x:is>
      </x:c>
      <x:c r="B1218" s="1" t="inlineStr">
        <x:is>
          <x:t xml:space="preserve">Round2</x:t>
        </x:is>
      </x:c>
      <x:c r="C1218" s="1" t="inlineStr">
        <x:is>
          <x:t xml:space="preserve">JacksonCore_1</x:t>
        </x:is>
      </x:c>
      <x:c r="D1218" s="1" t="inlineStr">
        <x:is>
          <x:t xml:space="preserve">NOT_AVAILABLE</x:t>
        </x:is>
      </x:c>
      <x:c r="E1218" s="5"/>
      <x:c r="F1218" s="4">
        <x:v>0</x:v>
      </x:c>
      <x:c r="G1218" s="4">
        <x:v>15764</x:v>
      </x:c>
      <x:c r="H1218" s="6">
        <x:v>69.23</x:v>
      </x:c>
      <x:c r="I1218" s="16">
        <x:v>1</x:v>
      </x:c>
      <x:c r="J1218"/>
      <x:c r="K1218" s="4"/>
      <x:c r="L1218" s="4"/>
      <x:c r="M1218" s="4"/>
      <x:c r="N1218" s="5"/>
    </x:row>
    <x:row r="1219" ht="24" customHeight="1">
      <x:c r="A1219" s="1" t="inlineStr">
        <x:is>
          <x:t xml:space="preserve">RESULT</x:t>
        </x:is>
      </x:c>
      <x:c r="B1219" s="1" t="inlineStr">
        <x:is>
          <x:t xml:space="preserve">Round2</x:t>
        </x:is>
      </x:c>
      <x:c r="C1219" s="1" t="inlineStr">
        <x:is>
          <x:t xml:space="preserve">JacksonCore_10</x:t>
        </x:is>
      </x:c>
      <x:c r="D1219" s="1" t="inlineStr">
        <x:is>
          <x:t xml:space="preserve">INCONCLUSIVE</x:t>
        </x:is>
      </x:c>
      <x:c r="E1219" s="5">
        <x:v>0.5484</x:v>
      </x:c>
      <x:c r="F1219" s="4">
        <x:v>0</x:v>
      </x:c>
      <x:c r="G1219" s="4">
        <x:v>10640</x:v>
      </x:c>
      <x:c r="H1219" s="6">
        <x:v>27.76</x:v>
      </x:c>
      <x:c r="I1219" s="16">
        <x:v>1</x:v>
      </x:c>
      <x:c r="J1219">
        <x:v>465</x:v>
      </x:c>
      <x:c r="K1219" s="4">
        <x:v>255</x:v>
      </x:c>
      <x:c r="L1219" s="4">
        <x:v>266</x:v>
      </x:c>
      <x:c r="M1219" s="4">
        <x:v>63</x:v>
      </x:c>
      <x:c r="N1219" s="5">
        <x:v>0.2368</x:v>
      </x:c>
    </x:row>
    <x:row r="1220" ht="24" customHeight="1">
      <x:c r="A1220" s="1" t="inlineStr">
        <x:is>
          <x:t xml:space="preserve">RESULT</x:t>
        </x:is>
      </x:c>
      <x:c r="B1220" s="1" t="inlineStr">
        <x:is>
          <x:t xml:space="preserve">Round2</x:t>
        </x:is>
      </x:c>
      <x:c r="C1220" s="1" t="inlineStr">
        <x:is>
          <x:t xml:space="preserve">JacksonCore_11</x:t>
        </x:is>
      </x:c>
      <x:c r="D1220" s="1" t="inlineStr">
        <x:is>
          <x:t xml:space="preserve">INCONCLUSIVE</x:t>
        </x:is>
      </x:c>
      <x:c r="E1220" s="5">
        <x:v>0.6966</x:v>
      </x:c>
      <x:c r="F1220" s="4">
        <x:v>0</x:v>
      </x:c>
      <x:c r="G1220" s="4"/>
      <x:c r="H1220" s="6"/>
      <x:c r="I1220" s="16">
        <x:v>1</x:v>
      </x:c>
      <x:c r="J1220">
        <x:v>468</x:v>
      </x:c>
      <x:c r="K1220" s="4">
        <x:v>326</x:v>
      </x:c>
      <x:c r="L1220" s="4">
        <x:v>268</x:v>
      </x:c>
      <x:c r="M1220" s="4">
        <x:v>109</x:v>
      </x:c>
      <x:c r="N1220" s="5">
        <x:v>0.4067</x:v>
      </x:c>
    </x:row>
    <x:row r="1221" ht="24" customHeight="1">
      <x:c r="A1221" s="1" t="inlineStr">
        <x:is>
          <x:t xml:space="preserve">RESULT</x:t>
        </x:is>
      </x:c>
      <x:c r="B1221" s="1" t="inlineStr">
        <x:is>
          <x:t xml:space="preserve">Round2</x:t>
        </x:is>
      </x:c>
      <x:c r="C1221" s="1" t="inlineStr">
        <x:is>
          <x:t xml:space="preserve">JacksonCore_12</x:t>
        </x:is>
      </x:c>
      <x:c r="D1221" s="1" t="inlineStr">
        <x:is>
          <x:t xml:space="preserve">NOT_AVAILABLE</x:t>
        </x:is>
      </x:c>
      <x:c r="E1221" s="5"/>
      <x:c r="F1221" s="4">
        <x:v>0</x:v>
      </x:c>
      <x:c r="G1221" s="4">
        <x:v>79019</x:v>
      </x:c>
      <x:c r="H1221" s="6">
        <x:v>1566.92</x:v>
      </x:c>
      <x:c r="I1221" s="16">
        <x:v>1</x:v>
      </x:c>
      <x:c r="J1221"/>
      <x:c r="K1221" s="4"/>
      <x:c r="L1221" s="4"/>
      <x:c r="M1221" s="4"/>
      <x:c r="N1221" s="5"/>
    </x:row>
    <x:row r="1222" ht="24" customHeight="1">
      <x:c r="A1222" s="1" t="inlineStr">
        <x:is>
          <x:t xml:space="preserve">RESULT</x:t>
        </x:is>
      </x:c>
      <x:c r="B1222" s="1" t="inlineStr">
        <x:is>
          <x:t xml:space="preserve">Round2</x:t>
        </x:is>
      </x:c>
      <x:c r="C1222" s="1" t="inlineStr">
        <x:is>
          <x:t xml:space="preserve">JacksonCore_13</x:t>
        </x:is>
      </x:c>
      <x:c r="D1222" s="1" t="inlineStr">
        <x:is>
          <x:t xml:space="preserve">NOT_AVAILABLE</x:t>
        </x:is>
      </x:c>
      <x:c r="E1222" s="5"/>
      <x:c r="F1222" s="4">
        <x:v>0</x:v>
      </x:c>
      <x:c r="G1222" s="4">
        <x:v>4900</x:v>
      </x:c>
      <x:c r="H1222" s="6">
        <x:v>26.43</x:v>
      </x:c>
      <x:c r="I1222" s="16">
        <x:v>1</x:v>
      </x:c>
      <x:c r="J1222"/>
      <x:c r="K1222" s="4"/>
      <x:c r="L1222" s="4"/>
      <x:c r="M1222" s="4"/>
      <x:c r="N1222" s="5"/>
    </x:row>
    <x:row r="1223" ht="24" customHeight="1">
      <x:c r="A1223" s="1" t="inlineStr">
        <x:is>
          <x:t xml:space="preserve">RESULT</x:t>
        </x:is>
      </x:c>
      <x:c r="B1223" s="1" t="inlineStr">
        <x:is>
          <x:t xml:space="preserve">Round2</x:t>
        </x:is>
      </x:c>
      <x:c r="C1223" s="1" t="inlineStr">
        <x:is>
          <x:t xml:space="preserve">JacksonCore_14</x:t>
        </x:is>
      </x:c>
      <x:c r="D1223" s="1" t="inlineStr">
        <x:is>
          <x:t xml:space="preserve">NOT_AVAILABLE</x:t>
        </x:is>
      </x:c>
      <x:c r="E1223" s="5"/>
      <x:c r="F1223" s="4">
        <x:v>0</x:v>
      </x:c>
      <x:c r="G1223" s="4">
        <x:v>5769</x:v>
      </x:c>
      <x:c r="H1223" s="6">
        <x:v>26.39</x:v>
      </x:c>
      <x:c r="I1223" s="16">
        <x:v>1</x:v>
      </x:c>
      <x:c r="J1223"/>
      <x:c r="K1223" s="4"/>
      <x:c r="L1223" s="4"/>
      <x:c r="M1223" s="4"/>
      <x:c r="N1223" s="5"/>
    </x:row>
    <x:row r="1224" ht="24" customHeight="1">
      <x:c r="A1224" s="1" t="inlineStr">
        <x:is>
          <x:t xml:space="preserve">RESULT</x:t>
        </x:is>
      </x:c>
      <x:c r="B1224" s="1" t="inlineStr">
        <x:is>
          <x:t xml:space="preserve">Round2</x:t>
        </x:is>
      </x:c>
      <x:c r="C1224" s="1" t="inlineStr">
        <x:is>
          <x:t xml:space="preserve">JacksonCore_15</x:t>
        </x:is>
      </x:c>
      <x:c r="D1224" s="1" t="inlineStr">
        <x:is>
          <x:t xml:space="preserve">NOT_AVAILABLE</x:t>
        </x:is>
      </x:c>
      <x:c r="E1224" s="5"/>
      <x:c r="F1224" s="4">
        <x:v>0</x:v>
      </x:c>
      <x:c r="G1224" s="4">
        <x:v>7645</x:v>
      </x:c>
      <x:c r="H1224" s="6">
        <x:v>9.34</x:v>
      </x:c>
      <x:c r="I1224" s="16">
        <x:v>1</x:v>
      </x:c>
      <x:c r="J1224"/>
      <x:c r="K1224" s="4"/>
      <x:c r="L1224" s="4"/>
      <x:c r="M1224" s="4"/>
      <x:c r="N1224" s="5"/>
    </x:row>
    <x:row r="1225" ht="24" customHeight="1">
      <x:c r="A1225" s="1" t="inlineStr">
        <x:is>
          <x:t xml:space="preserve">RESULT</x:t>
        </x:is>
      </x:c>
      <x:c r="B1225" s="1" t="inlineStr">
        <x:is>
          <x:t xml:space="preserve">Round2</x:t>
        </x:is>
      </x:c>
      <x:c r="C1225" s="1" t="inlineStr">
        <x:is>
          <x:t xml:space="preserve">JacksonCore_16</x:t>
        </x:is>
      </x:c>
      <x:c r="D1225" s="1" t="inlineStr">
        <x:is>
          <x:t xml:space="preserve">NOT_AVAILABLE</x:t>
        </x:is>
      </x:c>
      <x:c r="E1225" s="5"/>
      <x:c r="F1225" s="4">
        <x:v>0</x:v>
      </x:c>
      <x:c r="G1225" s="4">
        <x:v>5144</x:v>
      </x:c>
      <x:c r="H1225" s="6">
        <x:v>27.87</x:v>
      </x:c>
      <x:c r="I1225" s="16">
        <x:v>1</x:v>
      </x:c>
      <x:c r="J1225"/>
      <x:c r="K1225" s="4"/>
      <x:c r="L1225" s="4"/>
      <x:c r="M1225" s="4"/>
      <x:c r="N1225" s="5"/>
    </x:row>
    <x:row r="1226" ht="24" customHeight="1">
      <x:c r="A1226" s="1" t="inlineStr">
        <x:is>
          <x:t xml:space="preserve">RESULT</x:t>
        </x:is>
      </x:c>
      <x:c r="B1226" s="1" t="inlineStr">
        <x:is>
          <x:t xml:space="preserve">Round2</x:t>
        </x:is>
      </x:c>
      <x:c r="C1226" s="1" t="inlineStr">
        <x:is>
          <x:t xml:space="preserve">JacksonCore_17</x:t>
        </x:is>
      </x:c>
      <x:c r="D1226" s="1" t="inlineStr">
        <x:is>
          <x:t xml:space="preserve">NOT_AVAILABLE</x:t>
        </x:is>
      </x:c>
      <x:c r="E1226" s="5"/>
      <x:c r="F1226" s="4">
        <x:v>0</x:v>
      </x:c>
      <x:c r="G1226" s="4">
        <x:v>17786</x:v>
      </x:c>
      <x:c r="H1226" s="6">
        <x:v>40.13</x:v>
      </x:c>
      <x:c r="I1226" s="16">
        <x:v>1</x:v>
      </x:c>
      <x:c r="J1226"/>
      <x:c r="K1226" s="4"/>
      <x:c r="L1226" s="4"/>
      <x:c r="M1226" s="4"/>
      <x:c r="N1226" s="5"/>
    </x:row>
    <x:row r="1227" ht="24" customHeight="1">
      <x:c r="A1227" s="1" t="inlineStr">
        <x:is>
          <x:t xml:space="preserve">RESULT</x:t>
        </x:is>
      </x:c>
      <x:c r="B1227" s="1" t="inlineStr">
        <x:is>
          <x:t xml:space="preserve">Round2</x:t>
        </x:is>
      </x:c>
      <x:c r="C1227" s="1" t="inlineStr">
        <x:is>
          <x:t xml:space="preserve">JacksonCore_18</x:t>
        </x:is>
      </x:c>
      <x:c r="D1227" s="1" t="inlineStr">
        <x:is>
          <x:t xml:space="preserve">NOT_AVAILABLE</x:t>
        </x:is>
      </x:c>
      <x:c r="E1227" s="5"/>
      <x:c r="F1227" s="4">
        <x:v>0</x:v>
      </x:c>
      <x:c r="G1227" s="4">
        <x:v>42422</x:v>
      </x:c>
      <x:c r="H1227" s="6">
        <x:v>107.41</x:v>
      </x:c>
      <x:c r="I1227" s="16">
        <x:v>1</x:v>
      </x:c>
      <x:c r="J1227"/>
      <x:c r="K1227" s="4"/>
      <x:c r="L1227" s="4"/>
      <x:c r="M1227" s="4"/>
      <x:c r="N1227" s="5"/>
    </x:row>
    <x:row r="1228" ht="24" customHeight="1">
      <x:c r="A1228" s="1" t="inlineStr">
        <x:is>
          <x:t xml:space="preserve">RESULT</x:t>
        </x:is>
      </x:c>
      <x:c r="B1228" s="1" t="inlineStr">
        <x:is>
          <x:t xml:space="preserve">Round2</x:t>
        </x:is>
      </x:c>
      <x:c r="C1228" s="1" t="inlineStr">
        <x:is>
          <x:t xml:space="preserve">JacksonCore_19</x:t>
        </x:is>
      </x:c>
      <x:c r="D1228" s="1" t="inlineStr">
        <x:is>
          <x:t xml:space="preserve">NOT_AVAILABLE</x:t>
        </x:is>
      </x:c>
      <x:c r="E1228" s="5"/>
      <x:c r="F1228" s="4">
        <x:v>0</x:v>
      </x:c>
      <x:c r="G1228" s="4">
        <x:v>59866</x:v>
      </x:c>
      <x:c r="H1228" s="6">
        <x:v>140.22</x:v>
      </x:c>
      <x:c r="I1228" s="16">
        <x:v>1</x:v>
      </x:c>
      <x:c r="J1228"/>
      <x:c r="K1228" s="4"/>
      <x:c r="L1228" s="4"/>
      <x:c r="M1228" s="4"/>
      <x:c r="N1228" s="5"/>
    </x:row>
    <x:row r="1229" ht="24" customHeight="1">
      <x:c r="A1229" s="1" t="inlineStr">
        <x:is>
          <x:t xml:space="preserve">RESULT</x:t>
        </x:is>
      </x:c>
      <x:c r="B1229" s="1" t="inlineStr">
        <x:is>
          <x:t xml:space="preserve">Round2</x:t>
        </x:is>
      </x:c>
      <x:c r="C1229" s="1" t="inlineStr">
        <x:is>
          <x:t xml:space="preserve">JacksonCore_2</x:t>
        </x:is>
      </x:c>
      <x:c r="D1229" s="1" t="inlineStr">
        <x:is>
          <x:t xml:space="preserve">INCONCLUSIVE</x:t>
        </x:is>
      </x:c>
      <x:c r="E1229" s="5">
        <x:v>0.4531</x:v>
      </x:c>
      <x:c r="F1229" s="4">
        <x:v>0</x:v>
      </x:c>
      <x:c r="G1229" s="4">
        <x:v>89654</x:v>
      </x:c>
      <x:c r="H1229" s="6">
        <x:v>2402.45</x:v>
      </x:c>
      <x:c r="I1229" s="16">
        <x:v>1</x:v>
      </x:c>
      <x:c r="J1229">
        <x:v>2463</x:v>
      </x:c>
      <x:c r="K1229" s="4">
        <x:v>1116</x:v>
      </x:c>
      <x:c r="L1229" s="4">
        <x:v>1698</x:v>
      </x:c>
      <x:c r="M1229" s="4">
        <x:v>559</x:v>
      </x:c>
      <x:c r="N1229" s="5">
        <x:v>0.3292</x:v>
      </x:c>
    </x:row>
    <x:row r="1230" ht="24" customHeight="1">
      <x:c r="A1230" s="1" t="inlineStr">
        <x:is>
          <x:t xml:space="preserve">RESULT</x:t>
        </x:is>
      </x:c>
      <x:c r="B1230" s="1" t="inlineStr">
        <x:is>
          <x:t xml:space="preserve">Round2</x:t>
        </x:is>
      </x:c>
      <x:c r="C1230" s="1" t="inlineStr">
        <x:is>
          <x:t xml:space="preserve">JacksonCore_20</x:t>
        </x:is>
      </x:c>
      <x:c r="D1230" s="1" t="inlineStr">
        <x:is>
          <x:t xml:space="preserve">NOT_AVAILABLE</x:t>
        </x:is>
      </x:c>
      <x:c r="E1230" s="5"/>
      <x:c r="F1230" s="4">
        <x:v>0</x:v>
      </x:c>
      <x:c r="G1230" s="4">
        <x:v>13465</x:v>
      </x:c>
      <x:c r="H1230" s="6">
        <x:v>79.5</x:v>
      </x:c>
      <x:c r="I1230" s="16">
        <x:v>1</x:v>
      </x:c>
      <x:c r="J1230"/>
      <x:c r="K1230" s="4"/>
      <x:c r="L1230" s="4"/>
      <x:c r="M1230" s="4"/>
      <x:c r="N1230" s="5"/>
    </x:row>
    <x:row r="1231" ht="24" customHeight="1">
      <x:c r="A1231" s="1" t="inlineStr">
        <x:is>
          <x:t xml:space="preserve">RESULT</x:t>
        </x:is>
      </x:c>
      <x:c r="B1231" s="1" t="inlineStr">
        <x:is>
          <x:t xml:space="preserve">Round2</x:t>
        </x:is>
      </x:c>
      <x:c r="C1231" s="1" t="inlineStr">
        <x:is>
          <x:t xml:space="preserve">JacksonCore_21</x:t>
        </x:is>
      </x:c>
      <x:c r="D1231" s="1" t="inlineStr">
        <x:is>
          <x:t xml:space="preserve">INCONCLUSIVE</x:t>
        </x:is>
      </x:c>
      <x:c r="E1231" s="5">
        <x:v>0.1143</x:v>
      </x:c>
      <x:c r="F1231" s="4">
        <x:v>0</x:v>
      </x:c>
      <x:c r="G1231" s="4">
        <x:v>9443</x:v>
      </x:c>
      <x:c r="H1231" s="6">
        <x:v>30.34</x:v>
      </x:c>
      <x:c r="I1231" s="16">
        <x:v>1</x:v>
      </x:c>
      <x:c r="J1231">
        <x:v>385</x:v>
      </x:c>
      <x:c r="K1231" s="4">
        <x:v>44</x:v>
      </x:c>
      <x:c r="L1231" s="4">
        <x:v>269</x:v>
      </x:c>
      <x:c r="M1231" s="4">
        <x:v>18</x:v>
      </x:c>
      <x:c r="N1231" s="5">
        <x:v>0.0669</x:v>
      </x:c>
    </x:row>
    <x:row r="1232" ht="24" customHeight="1">
      <x:c r="A1232" s="1" t="inlineStr">
        <x:is>
          <x:t xml:space="preserve">RESULT</x:t>
        </x:is>
      </x:c>
      <x:c r="B1232" s="1" t="inlineStr">
        <x:is>
          <x:t xml:space="preserve">Round2</x:t>
        </x:is>
      </x:c>
      <x:c r="C1232" s="1" t="inlineStr">
        <x:is>
          <x:t xml:space="preserve">JacksonCore_22</x:t>
        </x:is>
      </x:c>
      <x:c r="D1232" s="1" t="inlineStr">
        <x:is>
          <x:t xml:space="preserve">INCONCLUSIVE</x:t>
        </x:is>
      </x:c>
      <x:c r="E1232" s="5">
        <x:v>0.4068</x:v>
      </x:c>
      <x:c r="F1232" s="4">
        <x:v>0</x:v>
      </x:c>
      <x:c r="G1232" s="4">
        <x:v>30806</x:v>
      </x:c>
      <x:c r="H1232" s="6">
        <x:v>1131.65</x:v>
      </x:c>
      <x:c r="I1232" s="16">
        <x:v>1</x:v>
      </x:c>
      <x:c r="J1232">
        <x:v>381</x:v>
      </x:c>
      <x:c r="K1232" s="4">
        <x:v>155</x:v>
      </x:c>
      <x:c r="L1232" s="4">
        <x:v>267</x:v>
      </x:c>
      <x:c r="M1232" s="4">
        <x:v>83</x:v>
      </x:c>
      <x:c r="N1232" s="5">
        <x:v>0.3109</x:v>
      </x:c>
    </x:row>
    <x:row r="1233" ht="24" customHeight="1">
      <x:c r="A1233" s="1" t="inlineStr">
        <x:is>
          <x:t xml:space="preserve">RESULT</x:t>
        </x:is>
      </x:c>
      <x:c r="B1233" s="1" t="inlineStr">
        <x:is>
          <x:t xml:space="preserve">Round2</x:t>
        </x:is>
      </x:c>
      <x:c r="C1233" s="1" t="inlineStr">
        <x:is>
          <x:t xml:space="preserve">JacksonCore_23</x:t>
        </x:is>
      </x:c>
      <x:c r="D1233" s="1" t="inlineStr">
        <x:is>
          <x:t xml:space="preserve">NOT_AVAILABLE</x:t>
        </x:is>
      </x:c>
      <x:c r="E1233" s="5"/>
      <x:c r="F1233" s="4">
        <x:v>0</x:v>
      </x:c>
      <x:c r="G1233" s="4">
        <x:v>8178</x:v>
      </x:c>
      <x:c r="H1233" s="6">
        <x:v>42.67</x:v>
      </x:c>
      <x:c r="I1233" s="16">
        <x:v>1</x:v>
      </x:c>
      <x:c r="J1233"/>
      <x:c r="K1233" s="4"/>
      <x:c r="L1233" s="4"/>
      <x:c r="M1233" s="4"/>
      <x:c r="N1233" s="5"/>
    </x:row>
    <x:row r="1234" ht="24" customHeight="1">
      <x:c r="A1234" s="1" t="inlineStr">
        <x:is>
          <x:t xml:space="preserve">RESULT</x:t>
        </x:is>
      </x:c>
      <x:c r="B1234" s="1" t="inlineStr">
        <x:is>
          <x:t xml:space="preserve">Round2</x:t>
        </x:is>
      </x:c>
      <x:c r="C1234" s="1" t="inlineStr">
        <x:is>
          <x:t xml:space="preserve">JacksonCore_24</x:t>
        </x:is>
      </x:c>
      <x:c r="D1234" s="1" t="inlineStr">
        <x:is>
          <x:t xml:space="preserve">NOT_AVAILABLE</x:t>
        </x:is>
      </x:c>
      <x:c r="E1234" s="5"/>
      <x:c r="F1234" s="4">
        <x:v>0</x:v>
      </x:c>
      <x:c r="G1234" s="4">
        <x:v>24753</x:v>
      </x:c>
      <x:c r="H1234" s="6">
        <x:v>90.98</x:v>
      </x:c>
      <x:c r="I1234" s="16">
        <x:v>1</x:v>
      </x:c>
      <x:c r="J1234"/>
      <x:c r="K1234" s="4"/>
      <x:c r="L1234" s="4"/>
      <x:c r="M1234" s="4"/>
      <x:c r="N1234" s="5"/>
    </x:row>
    <x:row r="1235" ht="24" customHeight="1">
      <x:c r="A1235" s="1" t="inlineStr">
        <x:is>
          <x:t xml:space="preserve">RESULT</x:t>
        </x:is>
      </x:c>
      <x:c r="B1235" s="1" t="inlineStr">
        <x:is>
          <x:t xml:space="preserve">Round2</x:t>
        </x:is>
      </x:c>
      <x:c r="C1235" s="1" t="inlineStr">
        <x:is>
          <x:t xml:space="preserve">JacksonCore_25</x:t>
        </x:is>
      </x:c>
      <x:c r="D1235" s="1" t="inlineStr">
        <x:is>
          <x:t xml:space="preserve">NOT_AVAILABLE</x:t>
        </x:is>
      </x:c>
      <x:c r="E1235" s="5"/>
      <x:c r="F1235" s="4">
        <x:v>0</x:v>
      </x:c>
      <x:c r="G1235" s="4">
        <x:v>24624</x:v>
      </x:c>
      <x:c r="H1235" s="6">
        <x:v>48.81</x:v>
      </x:c>
      <x:c r="I1235" s="16">
        <x:v>1</x:v>
      </x:c>
      <x:c r="J1235"/>
      <x:c r="K1235" s="4"/>
      <x:c r="L1235" s="4"/>
      <x:c r="M1235" s="4"/>
      <x:c r="N1235" s="5"/>
    </x:row>
    <x:row r="1236" ht="24" customHeight="1">
      <x:c r="A1236" s="1" t="inlineStr">
        <x:is>
          <x:t xml:space="preserve">RESULT</x:t>
        </x:is>
      </x:c>
      <x:c r="B1236" s="1" t="inlineStr">
        <x:is>
          <x:t xml:space="preserve">Round2</x:t>
        </x:is>
      </x:c>
      <x:c r="C1236" s="1" t="inlineStr">
        <x:is>
          <x:t xml:space="preserve">JacksonCore_26</x:t>
        </x:is>
      </x:c>
      <x:c r="D1236" s="1" t="inlineStr">
        <x:is>
          <x:t xml:space="preserve">INCONCLUSIVE</x:t>
        </x:is>
      </x:c>
      <x:c r="E1236" s="5">
        <x:v>0.1404</x:v>
      </x:c>
      <x:c r="F1236" s="4">
        <x:v>0</x:v>
      </x:c>
      <x:c r="G1236" s="4"/>
      <x:c r="H1236" s="6"/>
      <x:c r="I1236" s="16">
        <x:v>1</x:v>
      </x:c>
      <x:c r="J1236">
        <x:v>1482</x:v>
      </x:c>
      <x:c r="K1236" s="4">
        <x:v>208</x:v>
      </x:c>
      <x:c r="L1236" s="4">
        <x:v>951</x:v>
      </x:c>
      <x:c r="M1236" s="4">
        <x:v>101</x:v>
      </x:c>
      <x:c r="N1236" s="5">
        <x:v>0.10619999999999999</x:v>
      </x:c>
    </x:row>
    <x:row r="1237" ht="24" customHeight="1">
      <x:c r="A1237" s="1" t="inlineStr">
        <x:is>
          <x:t xml:space="preserve">RESULT</x:t>
        </x:is>
      </x:c>
      <x:c r="B1237" s="1" t="inlineStr">
        <x:is>
          <x:t xml:space="preserve">Round2</x:t>
        </x:is>
      </x:c>
      <x:c r="C1237" s="1" t="inlineStr">
        <x:is>
          <x:t xml:space="preserve">JacksonCore_3</x:t>
        </x:is>
      </x:c>
      <x:c r="D1237" s="1" t="inlineStr">
        <x:is>
          <x:t xml:space="preserve">NOT_AVAILABLE</x:t>
        </x:is>
      </x:c>
      <x:c r="E1237" s="5"/>
      <x:c r="F1237" s="4">
        <x:v>0</x:v>
      </x:c>
      <x:c r="G1237" s="4">
        <x:v>25687</x:v>
      </x:c>
      <x:c r="H1237" s="6">
        <x:v>35.03</x:v>
      </x:c>
      <x:c r="I1237" s="16">
        <x:v>1</x:v>
      </x:c>
      <x:c r="J1237"/>
      <x:c r="K1237" s="4"/>
      <x:c r="L1237" s="4"/>
      <x:c r="M1237" s="4"/>
      <x:c r="N1237" s="5"/>
    </x:row>
    <x:row r="1238" ht="24" customHeight="1">
      <x:c r="A1238" s="1" t="inlineStr">
        <x:is>
          <x:t xml:space="preserve">RESULT</x:t>
        </x:is>
      </x:c>
      <x:c r="B1238" s="1" t="inlineStr">
        <x:is>
          <x:t xml:space="preserve">Round2</x:t>
        </x:is>
      </x:c>
      <x:c r="C1238" s="1" t="inlineStr">
        <x:is>
          <x:t xml:space="preserve">JacksonCore_4</x:t>
        </x:is>
      </x:c>
      <x:c r="D1238" s="1" t="inlineStr">
        <x:is>
          <x:t xml:space="preserve">NOT_AVAILABLE</x:t>
        </x:is>
      </x:c>
      <x:c r="E1238" s="5"/>
      <x:c r="F1238" s="4">
        <x:v>0</x:v>
      </x:c>
      <x:c r="G1238" s="4">
        <x:v>8845</x:v>
      </x:c>
      <x:c r="H1238" s="6">
        <x:v>23.17</x:v>
      </x:c>
      <x:c r="I1238" s="16">
        <x:v>1</x:v>
      </x:c>
      <x:c r="J1238"/>
      <x:c r="K1238" s="4"/>
      <x:c r="L1238" s="4"/>
      <x:c r="M1238" s="4"/>
      <x:c r="N1238" s="5"/>
    </x:row>
    <x:row r="1239" ht="24" customHeight="1">
      <x:c r="A1239" s="1" t="inlineStr">
        <x:is>
          <x:t xml:space="preserve">RESULT</x:t>
        </x:is>
      </x:c>
      <x:c r="B1239" s="1" t="inlineStr">
        <x:is>
          <x:t xml:space="preserve">Round2</x:t>
        </x:is>
      </x:c>
      <x:c r="C1239" s="1" t="inlineStr">
        <x:is>
          <x:t xml:space="preserve">JacksonCore_5</x:t>
        </x:is>
      </x:c>
      <x:c r="D1239" s="1" t="inlineStr">
        <x:is>
          <x:t xml:space="preserve">NOT_REVEALING</x:t>
        </x:is>
      </x:c>
      <x:c r="E1239" s="5">
        <x:v>0.9762000000000001</x:v>
      </x:c>
      <x:c r="F1239" s="4">
        <x:v>0</x:v>
      </x:c>
      <x:c r="G1239" s="4">
        <x:v>5160</x:v>
      </x:c>
      <x:c r="H1239" s="6">
        <x:v>32.41</x:v>
      </x:c>
      <x:c r="I1239" s="16">
        <x:v>1</x:v>
      </x:c>
      <x:c r="J1239">
        <x:v>84</x:v>
      </x:c>
      <x:c r="K1239" s="4">
        <x:v>82</x:v>
      </x:c>
      <x:c r="L1239" s="4">
        <x:v>62</x:v>
      </x:c>
      <x:c r="M1239" s="4">
        <x:v>56</x:v>
      </x:c>
      <x:c r="N1239" s="5">
        <x:v>0.9031999999999999</x:v>
      </x:c>
    </x:row>
    <x:row r="1240" ht="24" customHeight="1">
      <x:c r="A1240" s="1" t="inlineStr">
        <x:is>
          <x:t xml:space="preserve">RESULT</x:t>
        </x:is>
      </x:c>
      <x:c r="B1240" s="1" t="inlineStr">
        <x:is>
          <x:t xml:space="preserve">Round2</x:t>
        </x:is>
      </x:c>
      <x:c r="C1240" s="1" t="inlineStr">
        <x:is>
          <x:t xml:space="preserve">JacksonCore_6</x:t>
        </x:is>
      </x:c>
      <x:c r="D1240" s="1" t="inlineStr">
        <x:is>
          <x:t xml:space="preserve">INCONCLUSIVE</x:t>
        </x:is>
      </x:c>
      <x:c r="E1240" s="5">
        <x:v>0.9523999999999999</x:v>
      </x:c>
      <x:c r="F1240" s="4">
        <x:v>0</x:v>
      </x:c>
      <x:c r="G1240" s="4"/>
      <x:c r="H1240" s="6"/>
      <x:c r="I1240" s="16">
        <x:v>1</x:v>
      </x:c>
      <x:c r="J1240">
        <x:v>84</x:v>
      </x:c>
      <x:c r="K1240" s="4">
        <x:v>80</x:v>
      </x:c>
      <x:c r="L1240" s="4">
        <x:v>62</x:v>
      </x:c>
      <x:c r="M1240" s="4">
        <x:v>54</x:v>
      </x:c>
      <x:c r="N1240" s="5">
        <x:v>0.871</x:v>
      </x:c>
    </x:row>
    <x:row r="1241" ht="24" customHeight="1">
      <x:c r="A1241" s="1" t="inlineStr">
        <x:is>
          <x:t xml:space="preserve">RESULT</x:t>
        </x:is>
      </x:c>
      <x:c r="B1241" s="1" t="inlineStr">
        <x:is>
          <x:t xml:space="preserve">Round2</x:t>
        </x:is>
      </x:c>
      <x:c r="C1241" s="1" t="inlineStr">
        <x:is>
          <x:t xml:space="preserve">JacksonCore_7</x:t>
        </x:is>
      </x:c>
      <x:c r="D1241" s="1" t="inlineStr">
        <x:is>
          <x:t xml:space="preserve">NOT_AVAILABLE</x:t>
        </x:is>
      </x:c>
      <x:c r="E1241" s="5"/>
      <x:c r="F1241" s="4">
        <x:v>0</x:v>
      </x:c>
      <x:c r="G1241" s="4">
        <x:v>4627</x:v>
      </x:c>
      <x:c r="H1241" s="6">
        <x:v>19.73</x:v>
      </x:c>
      <x:c r="I1241" s="16">
        <x:v>1</x:v>
      </x:c>
      <x:c r="J1241"/>
      <x:c r="K1241" s="4"/>
      <x:c r="L1241" s="4"/>
      <x:c r="M1241" s="4"/>
      <x:c r="N1241" s="5"/>
    </x:row>
    <x:row r="1242" ht="24" customHeight="1">
      <x:c r="A1242" s="1" t="inlineStr">
        <x:is>
          <x:t xml:space="preserve">RESULT</x:t>
        </x:is>
      </x:c>
      <x:c r="B1242" s="1" t="inlineStr">
        <x:is>
          <x:t xml:space="preserve">Round2</x:t>
        </x:is>
      </x:c>
      <x:c r="C1242" s="1" t="inlineStr">
        <x:is>
          <x:t xml:space="preserve">JacksonCore_8</x:t>
        </x:is>
      </x:c>
      <x:c r="D1242" s="1" t="inlineStr">
        <x:is>
          <x:t xml:space="preserve">INCONCLUSIVE</x:t>
        </x:is>
      </x:c>
      <x:c r="E1242" s="5">
        <x:v>0.6052000000000001</x:v>
      </x:c>
      <x:c r="F1242" s="4">
        <x:v>0</x:v>
      </x:c>
      <x:c r="G1242" s="4"/>
      <x:c r="H1242" s="6"/>
      <x:c r="I1242" s="16">
        <x:v>1</x:v>
      </x:c>
      <x:c r="J1242">
        <x:v>271</x:v>
      </x:c>
      <x:c r="K1242" s="4">
        <x:v>164</x:v>
      </x:c>
      <x:c r="L1242" s="4">
        <x:v>138</x:v>
      </x:c>
      <x:c r="M1242" s="4">
        <x:v>67</x:v>
      </x:c>
      <x:c r="N1242" s="5">
        <x:v>0.4855</x:v>
      </x:c>
    </x:row>
    <x:row r="1243" ht="24" customHeight="1">
      <x:c r="A1243" s="1" t="inlineStr">
        <x:is>
          <x:t xml:space="preserve">RESULT</x:t>
        </x:is>
      </x:c>
      <x:c r="B1243" s="1" t="inlineStr">
        <x:is>
          <x:t xml:space="preserve">Round2</x:t>
        </x:is>
      </x:c>
      <x:c r="C1243" s="1" t="inlineStr">
        <x:is>
          <x:t xml:space="preserve">JacksonCore_9</x:t>
        </x:is>
      </x:c>
      <x:c r="D1243" s="1" t="inlineStr">
        <x:is>
          <x:t xml:space="preserve">NOT_AVAILABLE</x:t>
        </x:is>
      </x:c>
      <x:c r="E1243" s="5"/>
      <x:c r="F1243" s="4">
        <x:v>0</x:v>
      </x:c>
      <x:c r="G1243" s="4">
        <x:v>60697</x:v>
      </x:c>
      <x:c r="H1243" s="6">
        <x:v>146.81</x:v>
      </x:c>
      <x:c r="I1243" s="16">
        <x:v>1</x:v>
      </x:c>
      <x:c r="J1243"/>
      <x:c r="K1243" s="4"/>
      <x:c r="L1243" s="4"/>
      <x:c r="M1243" s="4"/>
      <x:c r="N1243" s="5"/>
    </x:row>
    <x:row r="1244" ht="24" customHeight="1">
      <x:c r="A1244" s="1" t="inlineStr">
        <x:is>
          <x:t xml:space="preserve">RESULT</x:t>
        </x:is>
      </x:c>
      <x:c r="B1244" s="1" t="inlineStr">
        <x:is>
          <x:t xml:space="preserve">Round2</x:t>
        </x:is>
      </x:c>
      <x:c r="C1244" s="1" t="inlineStr">
        <x:is>
          <x:t xml:space="preserve">JacksonDatabind_1</x:t>
        </x:is>
      </x:c>
      <x:c r="D1244" s="1" t="inlineStr">
        <x:is>
          <x:t xml:space="preserve">NOT_AVAILABLE</x:t>
        </x:is>
      </x:c>
      <x:c r="E1244" s="5"/>
      <x:c r="F1244" s="4">
        <x:v>0</x:v>
      </x:c>
      <x:c r="G1244" s="4">
        <x:v>14379</x:v>
      </x:c>
      <x:c r="H1244" s="6">
        <x:v>91.46</x:v>
      </x:c>
      <x:c r="I1244" s="16">
        <x:v>1</x:v>
      </x:c>
      <x:c r="J1244"/>
      <x:c r="K1244" s="4"/>
      <x:c r="L1244" s="4"/>
      <x:c r="M1244" s="4"/>
      <x:c r="N1244" s="5"/>
    </x:row>
    <x:row r="1245" ht="24" customHeight="1">
      <x:c r="A1245" s="1" t="inlineStr">
        <x:is>
          <x:t xml:space="preserve">RESULT</x:t>
        </x:is>
      </x:c>
      <x:c r="B1245" s="1" t="inlineStr">
        <x:is>
          <x:t xml:space="preserve">Round2</x:t>
        </x:is>
      </x:c>
      <x:c r="C1245" s="1" t="inlineStr">
        <x:is>
          <x:t xml:space="preserve">JacksonDatabind_10</x:t>
        </x:is>
      </x:c>
      <x:c r="D1245" s="1" t="inlineStr">
        <x:is>
          <x:t xml:space="preserve">NOT_AVAILABLE</x:t>
        </x:is>
      </x:c>
      <x:c r="E1245" s="5"/>
      <x:c r="F1245" s="4">
        <x:v>0</x:v>
      </x:c>
      <x:c r="G1245" s="4">
        <x:v>36112</x:v>
      </x:c>
      <x:c r="H1245" s="6">
        <x:v>1003.42</x:v>
      </x:c>
      <x:c r="I1245" s="16">
        <x:v>1</x:v>
      </x:c>
      <x:c r="J1245"/>
      <x:c r="K1245" s="4"/>
      <x:c r="L1245" s="4"/>
      <x:c r="M1245" s="4"/>
      <x:c r="N1245" s="5"/>
    </x:row>
    <x:row r="1246" ht="24" customHeight="1">
      <x:c r="A1246" s="1" t="inlineStr">
        <x:is>
          <x:t xml:space="preserve">RESULT</x:t>
        </x:is>
      </x:c>
      <x:c r="B1246" s="1" t="inlineStr">
        <x:is>
          <x:t xml:space="preserve">Round2</x:t>
        </x:is>
      </x:c>
      <x:c r="C1246" s="1" t="inlineStr">
        <x:is>
          <x:t xml:space="preserve">JacksonDatabind_100</x:t>
        </x:is>
      </x:c>
      <x:c r="D1246" s="1" t="inlineStr">
        <x:is>
          <x:t xml:space="preserve">NOT_AVAILABLE</x:t>
        </x:is>
      </x:c>
      <x:c r="E1246" s="5"/>
      <x:c r="F1246" s="4">
        <x:v>0</x:v>
      </x:c>
      <x:c r="G1246" s="4">
        <x:v>9136</x:v>
      </x:c>
      <x:c r="H1246" s="6">
        <x:v>64.51</x:v>
      </x:c>
      <x:c r="I1246" s="16">
        <x:v>1</x:v>
      </x:c>
      <x:c r="J1246"/>
      <x:c r="K1246" s="4"/>
      <x:c r="L1246" s="4"/>
      <x:c r="M1246" s="4"/>
      <x:c r="N1246" s="5"/>
    </x:row>
    <x:row r="1247" ht="24" customHeight="1">
      <x:c r="A1247" s="1" t="inlineStr">
        <x:is>
          <x:t xml:space="preserve">RESULT</x:t>
        </x:is>
      </x:c>
      <x:c r="B1247" s="1" t="inlineStr">
        <x:is>
          <x:t xml:space="preserve">Round2</x:t>
        </x:is>
      </x:c>
      <x:c r="C1247" s="1" t="inlineStr">
        <x:is>
          <x:t xml:space="preserve">JacksonDatabind_101</x:t>
        </x:is>
      </x:c>
      <x:c r="D1247" s="1" t="inlineStr">
        <x:is>
          <x:t xml:space="preserve">NOT_AVAILABLE</x:t>
        </x:is>
      </x:c>
      <x:c r="E1247" s="5"/>
      <x:c r="F1247" s="4">
        <x:v>0</x:v>
      </x:c>
      <x:c r="G1247" s="4">
        <x:v>40188</x:v>
      </x:c>
      <x:c r="H1247" s="6">
        <x:v>435.67</x:v>
      </x:c>
      <x:c r="I1247" s="16">
        <x:v>1</x:v>
      </x:c>
      <x:c r="J1247"/>
      <x:c r="K1247" s="4"/>
      <x:c r="L1247" s="4"/>
      <x:c r="M1247" s="4"/>
      <x:c r="N1247" s="5"/>
    </x:row>
    <x:row r="1248" ht="24" customHeight="1">
      <x:c r="A1248" s="1" t="inlineStr">
        <x:is>
          <x:t xml:space="preserve">RESULT</x:t>
        </x:is>
      </x:c>
      <x:c r="B1248" s="1" t="inlineStr">
        <x:is>
          <x:t xml:space="preserve">Round2</x:t>
        </x:is>
      </x:c>
      <x:c r="C1248" s="1" t="inlineStr">
        <x:is>
          <x:t xml:space="preserve">JacksonDatabind_102</x:t>
        </x:is>
      </x:c>
      <x:c r="D1248" s="1" t="inlineStr">
        <x:is>
          <x:t xml:space="preserve">NOT_AVAILABLE</x:t>
        </x:is>
      </x:c>
      <x:c r="E1248" s="5"/>
      <x:c r="F1248" s="4">
        <x:v>0</x:v>
      </x:c>
      <x:c r="G1248" s="4">
        <x:v>14746</x:v>
      </x:c>
      <x:c r="H1248" s="6">
        <x:v>98.6</x:v>
      </x:c>
      <x:c r="I1248" s="16">
        <x:v>1</x:v>
      </x:c>
      <x:c r="J1248"/>
      <x:c r="K1248" s="4"/>
      <x:c r="L1248" s="4"/>
      <x:c r="M1248" s="4"/>
      <x:c r="N1248" s="5"/>
    </x:row>
    <x:row r="1249" ht="24" customHeight="1">
      <x:c r="A1249" s="1" t="inlineStr">
        <x:is>
          <x:t xml:space="preserve">RESULT</x:t>
        </x:is>
      </x:c>
      <x:c r="B1249" s="1" t="inlineStr">
        <x:is>
          <x:t xml:space="preserve">Round2</x:t>
        </x:is>
      </x:c>
      <x:c r="C1249" s="1" t="inlineStr">
        <x:is>
          <x:t xml:space="preserve">JacksonDatabind_103</x:t>
        </x:is>
      </x:c>
      <x:c r="D1249" s="1" t="inlineStr">
        <x:is>
          <x:t xml:space="preserve">NOT_AVAILABLE</x:t>
        </x:is>
      </x:c>
      <x:c r="E1249" s="5"/>
      <x:c r="F1249" s="4">
        <x:v>0</x:v>
      </x:c>
      <x:c r="G1249" s="4">
        <x:v>389617</x:v>
      </x:c>
      <x:c r="H1249" s="6">
        <x:v>8335.63</x:v>
      </x:c>
      <x:c r="I1249" s="16">
        <x:v>1</x:v>
      </x:c>
      <x:c r="J1249"/>
      <x:c r="K1249" s="4"/>
      <x:c r="L1249" s="4"/>
      <x:c r="M1249" s="4"/>
      <x:c r="N1249" s="5"/>
    </x:row>
    <x:row r="1250" ht="24" customHeight="1">
      <x:c r="A1250" s="1" t="inlineStr">
        <x:is>
          <x:t xml:space="preserve">RESULT</x:t>
        </x:is>
      </x:c>
      <x:c r="B1250" s="1" t="inlineStr">
        <x:is>
          <x:t xml:space="preserve">Round2</x:t>
        </x:is>
      </x:c>
      <x:c r="C1250" s="1" t="inlineStr">
        <x:is>
          <x:t xml:space="preserve">JacksonDatabind_104</x:t>
        </x:is>
      </x:c>
      <x:c r="D1250" s="1" t="inlineStr">
        <x:is>
          <x:t xml:space="preserve">NOT_AVAILABLE</x:t>
        </x:is>
      </x:c>
      <x:c r="E1250" s="5"/>
      <x:c r="F1250" s="4">
        <x:v>0</x:v>
      </x:c>
      <x:c r="G1250" s="4">
        <x:v>34246</x:v>
      </x:c>
      <x:c r="H1250" s="6">
        <x:v>1296.87</x:v>
      </x:c>
      <x:c r="I1250" s="16">
        <x:v>1</x:v>
      </x:c>
      <x:c r="J1250"/>
      <x:c r="K1250" s="4"/>
      <x:c r="L1250" s="4"/>
      <x:c r="M1250" s="4"/>
      <x:c r="N1250" s="5"/>
    </x:row>
    <x:row r="1251" ht="24" customHeight="1">
      <x:c r="A1251" s="1" t="inlineStr">
        <x:is>
          <x:t xml:space="preserve">RESULT</x:t>
        </x:is>
      </x:c>
      <x:c r="B1251" s="1" t="inlineStr">
        <x:is>
          <x:t xml:space="preserve">Round2</x:t>
        </x:is>
      </x:c>
      <x:c r="C1251" s="1" t="inlineStr">
        <x:is>
          <x:t xml:space="preserve">JacksonDatabind_105</x:t>
        </x:is>
      </x:c>
      <x:c r="D1251" s="1" t="inlineStr">
        <x:is>
          <x:t xml:space="preserve">INCONCLUSIVE</x:t>
        </x:is>
      </x:c>
      <x:c r="E1251" s="5">
        <x:v>0.8946999999999999</x:v>
      </x:c>
      <x:c r="F1251" s="4">
        <x:v>0</x:v>
      </x:c>
      <x:c r="G1251" s="4"/>
      <x:c r="H1251" s="6"/>
      <x:c r="I1251" s="16">
        <x:v>1</x:v>
      </x:c>
      <x:c r="J1251">
        <x:v>19</x:v>
      </x:c>
      <x:c r="K1251" s="4">
        <x:v>17</x:v>
      </x:c>
      <x:c r="L1251" s="4">
        <x:v>12</x:v>
      </x:c>
      <x:c r="M1251" s="4">
        <x:v>10</x:v>
      </x:c>
      <x:c r="N1251" s="5">
        <x:v>0.8332999999999999</x:v>
      </x:c>
    </x:row>
    <x:row r="1252" ht="24" customHeight="1">
      <x:c r="A1252" s="1" t="inlineStr">
        <x:is>
          <x:t xml:space="preserve">RESULT</x:t>
        </x:is>
      </x:c>
      <x:c r="B1252" s="1" t="inlineStr">
        <x:is>
          <x:t xml:space="preserve">Round2</x:t>
        </x:is>
      </x:c>
      <x:c r="C1252" s="1" t="inlineStr">
        <x:is>
          <x:t xml:space="preserve">JacksonDatabind_106</x:t>
        </x:is>
      </x:c>
      <x:c r="D1252" s="1" t="inlineStr">
        <x:is>
          <x:t xml:space="preserve">NOT_AVAILABLE</x:t>
        </x:is>
      </x:c>
      <x:c r="E1252" s="5"/>
      <x:c r="F1252" s="4">
        <x:v>0</x:v>
      </x:c>
      <x:c r="G1252" s="4">
        <x:v>33769</x:v>
      </x:c>
      <x:c r="H1252" s="6">
        <x:v>1359.96</x:v>
      </x:c>
      <x:c r="I1252" s="16">
        <x:v>1</x:v>
      </x:c>
      <x:c r="J1252"/>
      <x:c r="K1252" s="4"/>
      <x:c r="L1252" s="4"/>
      <x:c r="M1252" s="4"/>
      <x:c r="N1252" s="5"/>
    </x:row>
    <x:row r="1253" ht="24" customHeight="1">
      <x:c r="A1253" s="1" t="inlineStr">
        <x:is>
          <x:t xml:space="preserve">RESULT</x:t>
        </x:is>
      </x:c>
      <x:c r="B1253" s="1" t="inlineStr">
        <x:is>
          <x:t xml:space="preserve">Round2</x:t>
        </x:is>
      </x:c>
      <x:c r="C1253" s="1" t="inlineStr">
        <x:is>
          <x:t xml:space="preserve">JacksonDatabind_107</x:t>
        </x:is>
      </x:c>
      <x:c r="D1253" s="1" t="inlineStr">
        <x:is>
          <x:t xml:space="preserve">NOT_AVAILABLE</x:t>
        </x:is>
      </x:c>
      <x:c r="E1253" s="5"/>
      <x:c r="F1253" s="4">
        <x:v>0</x:v>
      </x:c>
      <x:c r="G1253" s="4">
        <x:v>34875</x:v>
      </x:c>
      <x:c r="H1253" s="6">
        <x:v>1413.17</x:v>
      </x:c>
      <x:c r="I1253" s="16">
        <x:v>1</x:v>
      </x:c>
      <x:c r="J1253"/>
      <x:c r="K1253" s="4"/>
      <x:c r="L1253" s="4"/>
      <x:c r="M1253" s="4"/>
      <x:c r="N1253" s="5"/>
    </x:row>
    <x:row r="1254" ht="24" customHeight="1">
      <x:c r="A1254" s="1" t="inlineStr">
        <x:is>
          <x:t xml:space="preserve">RESULT</x:t>
        </x:is>
      </x:c>
      <x:c r="B1254" s="1" t="inlineStr">
        <x:is>
          <x:t xml:space="preserve">Round2</x:t>
        </x:is>
      </x:c>
      <x:c r="C1254" s="1" t="inlineStr">
        <x:is>
          <x:t xml:space="preserve">JacksonDatabind_108</x:t>
        </x:is>
      </x:c>
      <x:c r="D1254" s="1" t="inlineStr">
        <x:is>
          <x:t xml:space="preserve">INCONCLUSIVE</x:t>
        </x:is>
      </x:c>
      <x:c r="E1254" s="5">
        <x:v>0.4514</x:v>
      </x:c>
      <x:c r="F1254" s="4">
        <x:v>0</x:v>
      </x:c>
      <x:c r="G1254" s="4">
        <x:v>38897</x:v>
      </x:c>
      <x:c r="H1254" s="6">
        <x:v>1340.95</x:v>
      </x:c>
      <x:c r="I1254" s="16">
        <x:v>1</x:v>
      </x:c>
      <x:c r="J1254">
        <x:v>432</x:v>
      </x:c>
      <x:c r="K1254" s="4">
        <x:v>195</x:v>
      </x:c>
      <x:c r="L1254" s="4">
        <x:v>182</x:v>
      </x:c>
      <x:c r="M1254" s="4">
        <x:v>66</x:v>
      </x:c>
      <x:c r="N1254" s="5">
        <x:v>0.3626</x:v>
      </x:c>
    </x:row>
    <x:row r="1255" ht="24" customHeight="1">
      <x:c r="A1255" s="1" t="inlineStr">
        <x:is>
          <x:t xml:space="preserve">RESULT</x:t>
        </x:is>
      </x:c>
      <x:c r="B1255" s="1" t="inlineStr">
        <x:is>
          <x:t xml:space="preserve">Round2</x:t>
        </x:is>
      </x:c>
      <x:c r="C1255" s="1" t="inlineStr">
        <x:is>
          <x:t xml:space="preserve">JacksonDatabind_109</x:t>
        </x:is>
      </x:c>
      <x:c r="D1255" s="1" t="inlineStr">
        <x:is>
          <x:t xml:space="preserve">NOT_AVAILABLE</x:t>
        </x:is>
      </x:c>
      <x:c r="E1255" s="5"/>
      <x:c r="F1255" s="4">
        <x:v>0</x:v>
      </x:c>
      <x:c r="G1255" s="4">
        <x:v>48021</x:v>
      </x:c>
      <x:c r="H1255" s="6">
        <x:v>1965.05</x:v>
      </x:c>
      <x:c r="I1255" s="16">
        <x:v>1</x:v>
      </x:c>
      <x:c r="J1255"/>
      <x:c r="K1255" s="4"/>
      <x:c r="L1255" s="4"/>
      <x:c r="M1255" s="4"/>
      <x:c r="N1255" s="5"/>
    </x:row>
    <x:row r="1256" ht="24" customHeight="1">
      <x:c r="A1256" s="1" t="inlineStr">
        <x:is>
          <x:t xml:space="preserve">RESULT</x:t>
        </x:is>
      </x:c>
      <x:c r="B1256" s="1" t="inlineStr">
        <x:is>
          <x:t xml:space="preserve">Round2</x:t>
        </x:is>
      </x:c>
      <x:c r="C1256" s="1" t="inlineStr">
        <x:is>
          <x:t xml:space="preserve">JacksonDatabind_11</x:t>
        </x:is>
      </x:c>
      <x:c r="D1256" s="1" t="inlineStr">
        <x:is>
          <x:t xml:space="preserve">NOT_REVEALING</x:t>
        </x:is>
      </x:c>
      <x:c r="E1256" s="5">
        <x:v>0.5625</x:v>
      </x:c>
      <x:c r="F1256" s="4">
        <x:v>0</x:v>
      </x:c>
      <x:c r="G1256" s="4">
        <x:v>30985</x:v>
      </x:c>
      <x:c r="H1256" s="6">
        <x:v>1107.72</x:v>
      </x:c>
      <x:c r="I1256" s="16">
        <x:v>1</x:v>
      </x:c>
      <x:c r="J1256">
        <x:v>320</x:v>
      </x:c>
      <x:c r="K1256" s="4">
        <x:v>180</x:v>
      </x:c>
      <x:c r="L1256" s="4">
        <x:v>198</x:v>
      </x:c>
      <x:c r="M1256" s="4">
        <x:v>84</x:v>
      </x:c>
      <x:c r="N1256" s="5">
        <x:v>0.4242</x:v>
      </x:c>
    </x:row>
    <x:row r="1257" ht="24" customHeight="1">
      <x:c r="A1257" s="1" t="inlineStr">
        <x:is>
          <x:t xml:space="preserve">RESULT</x:t>
        </x:is>
      </x:c>
      <x:c r="B1257" s="1" t="inlineStr">
        <x:is>
          <x:t xml:space="preserve">Round2</x:t>
        </x:is>
      </x:c>
      <x:c r="C1257" s="1" t="inlineStr">
        <x:is>
          <x:t xml:space="preserve">JacksonDatabind_110</x:t>
        </x:is>
      </x:c>
      <x:c r="D1257" s="1" t="inlineStr">
        <x:is>
          <x:t xml:space="preserve">NOT_AVAILABLE</x:t>
        </x:is>
      </x:c>
      <x:c r="E1257" s="5"/>
      <x:c r="F1257" s="4">
        <x:v>0</x:v>
      </x:c>
      <x:c r="G1257" s="4">
        <x:v>11788</x:v>
      </x:c>
      <x:c r="H1257" s="6">
        <x:v>108.48</x:v>
      </x:c>
      <x:c r="I1257" s="16">
        <x:v>1</x:v>
      </x:c>
      <x:c r="J1257"/>
      <x:c r="K1257" s="4"/>
      <x:c r="L1257" s="4"/>
      <x:c r="M1257" s="4"/>
      <x:c r="N1257" s="5"/>
    </x:row>
    <x:row r="1258" ht="24" customHeight="1">
      <x:c r="A1258" s="1" t="inlineStr">
        <x:is>
          <x:t xml:space="preserve">RESULT</x:t>
        </x:is>
      </x:c>
      <x:c r="B1258" s="1" t="inlineStr">
        <x:is>
          <x:t xml:space="preserve">Round2</x:t>
        </x:is>
      </x:c>
      <x:c r="C1258" s="1" t="inlineStr">
        <x:is>
          <x:t xml:space="preserve">JacksonDatabind_111</x:t>
        </x:is>
      </x:c>
      <x:c r="D1258" s="1" t="inlineStr">
        <x:is>
          <x:t xml:space="preserve">NOT_AVAILABLE</x:t>
        </x:is>
      </x:c>
      <x:c r="E1258" s="5"/>
      <x:c r="F1258" s="4">
        <x:v>0</x:v>
      </x:c>
      <x:c r="G1258" s="4">
        <x:v>173119</x:v>
      </x:c>
      <x:c r="H1258" s="6">
        <x:v>5363.56</x:v>
      </x:c>
      <x:c r="I1258" s="16">
        <x:v>1</x:v>
      </x:c>
      <x:c r="J1258"/>
      <x:c r="K1258" s="4"/>
      <x:c r="L1258" s="4"/>
      <x:c r="M1258" s="4"/>
      <x:c r="N1258" s="5"/>
    </x:row>
    <x:row r="1259" ht="24" customHeight="1">
      <x:c r="A1259" s="1" t="inlineStr">
        <x:is>
          <x:t xml:space="preserve">RESULT</x:t>
        </x:is>
      </x:c>
      <x:c r="B1259" s="1" t="inlineStr">
        <x:is>
          <x:t xml:space="preserve">Round2</x:t>
        </x:is>
      </x:c>
      <x:c r="C1259" s="1" t="inlineStr">
        <x:is>
          <x:t xml:space="preserve">JacksonDatabind_112</x:t>
        </x:is>
      </x:c>
      <x:c r="D1259" s="1" t="inlineStr">
        <x:is>
          <x:t xml:space="preserve">NOT_AVAILABLE</x:t>
        </x:is>
      </x:c>
      <x:c r="E1259" s="5"/>
      <x:c r="F1259" s="4">
        <x:v>0</x:v>
      </x:c>
      <x:c r="G1259" s="4">
        <x:v>20159</x:v>
      </x:c>
      <x:c r="H1259" s="6">
        <x:v>159.96</x:v>
      </x:c>
      <x:c r="I1259" s="16">
        <x:v>1</x:v>
      </x:c>
      <x:c r="J1259"/>
      <x:c r="K1259" s="4"/>
      <x:c r="L1259" s="4"/>
      <x:c r="M1259" s="4"/>
      <x:c r="N1259" s="5"/>
    </x:row>
    <x:row r="1260" ht="24" customHeight="1">
      <x:c r="A1260" s="1" t="inlineStr">
        <x:is>
          <x:t xml:space="preserve">RESULT</x:t>
        </x:is>
      </x:c>
      <x:c r="B1260" s="1" t="inlineStr">
        <x:is>
          <x:t xml:space="preserve">Round2</x:t>
        </x:is>
      </x:c>
      <x:c r="C1260" s="1" t="inlineStr">
        <x:is>
          <x:t xml:space="preserve">JacksonDatabind_12</x:t>
        </x:is>
      </x:c>
      <x:c r="D1260" s="1" t="inlineStr">
        <x:is>
          <x:t xml:space="preserve">NOT_AVAILABLE</x:t>
        </x:is>
      </x:c>
      <x:c r="E1260" s="5"/>
      <x:c r="F1260" s="4">
        <x:v>0</x:v>
      </x:c>
      <x:c r="G1260" s="4">
        <x:v>33456</x:v>
      </x:c>
      <x:c r="H1260" s="6">
        <x:v>369.8</x:v>
      </x:c>
      <x:c r="I1260" s="16">
        <x:v>1</x:v>
      </x:c>
      <x:c r="J1260"/>
      <x:c r="K1260" s="4"/>
      <x:c r="L1260" s="4"/>
      <x:c r="M1260" s="4"/>
      <x:c r="N1260" s="5"/>
    </x:row>
    <x:row r="1261" ht="24" customHeight="1">
      <x:c r="A1261" s="1" t="inlineStr">
        <x:is>
          <x:t xml:space="preserve">RESULT</x:t>
        </x:is>
      </x:c>
      <x:c r="B1261" s="1" t="inlineStr">
        <x:is>
          <x:t xml:space="preserve">Round2</x:t>
        </x:is>
      </x:c>
      <x:c r="C1261" s="1" t="inlineStr">
        <x:is>
          <x:t xml:space="preserve">JacksonDatabind_13</x:t>
        </x:is>
      </x:c>
      <x:c r="D1261" s="1" t="inlineStr">
        <x:is>
          <x:t xml:space="preserve">NOT_AVAILABLE</x:t>
        </x:is>
      </x:c>
      <x:c r="E1261" s="5"/>
      <x:c r="F1261" s="4">
        <x:v>0</x:v>
      </x:c>
      <x:c r="G1261" s="4">
        <x:v>34391</x:v>
      </x:c>
      <x:c r="H1261" s="6">
        <x:v>237.96</x:v>
      </x:c>
      <x:c r="I1261" s="16">
        <x:v>1</x:v>
      </x:c>
      <x:c r="J1261"/>
      <x:c r="K1261" s="4"/>
      <x:c r="L1261" s="4"/>
      <x:c r="M1261" s="4"/>
      <x:c r="N1261" s="5"/>
    </x:row>
    <x:row r="1262" ht="24" customHeight="1">
      <x:c r="A1262" s="1" t="inlineStr">
        <x:is>
          <x:t xml:space="preserve">RESULT</x:t>
        </x:is>
      </x:c>
      <x:c r="B1262" s="1" t="inlineStr">
        <x:is>
          <x:t xml:space="preserve">Round2</x:t>
        </x:is>
      </x:c>
      <x:c r="C1262" s="1" t="inlineStr">
        <x:is>
          <x:t xml:space="preserve">JacksonDatabind_14</x:t>
        </x:is>
      </x:c>
      <x:c r="D1262" s="1" t="inlineStr">
        <x:is>
          <x:t xml:space="preserve">NOT_AVAILABLE</x:t>
        </x:is>
      </x:c>
      <x:c r="E1262" s="5"/>
      <x:c r="F1262" s="4">
        <x:v>0</x:v>
      </x:c>
      <x:c r="G1262" s="4">
        <x:v>25937</x:v>
      </x:c>
      <x:c r="H1262" s="6">
        <x:v>143.59</x:v>
      </x:c>
      <x:c r="I1262" s="16">
        <x:v>1</x:v>
      </x:c>
      <x:c r="J1262"/>
      <x:c r="K1262" s="4"/>
      <x:c r="L1262" s="4"/>
      <x:c r="M1262" s="4"/>
      <x:c r="N1262" s="5"/>
    </x:row>
    <x:row r="1263" ht="24" customHeight="1">
      <x:c r="A1263" s="1" t="inlineStr">
        <x:is>
          <x:t xml:space="preserve">RESULT</x:t>
        </x:is>
      </x:c>
      <x:c r="B1263" s="1" t="inlineStr">
        <x:is>
          <x:t xml:space="preserve">Round2</x:t>
        </x:is>
      </x:c>
      <x:c r="C1263" s="1" t="inlineStr">
        <x:is>
          <x:t xml:space="preserve">JacksonDatabind_15</x:t>
        </x:is>
      </x:c>
      <x:c r="D1263" s="1" t="inlineStr">
        <x:is>
          <x:t xml:space="preserve">NOT_AVAILABLE</x:t>
        </x:is>
      </x:c>
      <x:c r="E1263" s="5"/>
      <x:c r="F1263" s="4">
        <x:v>0</x:v>
      </x:c>
      <x:c r="G1263" s="4">
        <x:v>98568</x:v>
      </x:c>
      <x:c r="H1263" s="6">
        <x:v>673.98</x:v>
      </x:c>
      <x:c r="I1263" s="16">
        <x:v>1</x:v>
      </x:c>
      <x:c r="J1263"/>
      <x:c r="K1263" s="4"/>
      <x:c r="L1263" s="4"/>
      <x:c r="M1263" s="4"/>
      <x:c r="N1263" s="5"/>
    </x:row>
    <x:row r="1264" ht="24" customHeight="1">
      <x:c r="A1264" s="1" t="inlineStr">
        <x:is>
          <x:t xml:space="preserve">RESULT</x:t>
        </x:is>
      </x:c>
      <x:c r="B1264" s="1" t="inlineStr">
        <x:is>
          <x:t xml:space="preserve">Round2</x:t>
        </x:is>
      </x:c>
      <x:c r="C1264" s="1" t="inlineStr">
        <x:is>
          <x:t xml:space="preserve">JacksonDatabind_16</x:t>
        </x:is>
      </x:c>
      <x:c r="D1264" s="1" t="inlineStr">
        <x:is>
          <x:t xml:space="preserve">INCONCLUSIVE</x:t>
        </x:is>
      </x:c>
      <x:c r="E1264" s="5">
        <x:v>1.0</x:v>
      </x:c>
      <x:c r="F1264" s="4">
        <x:v>0</x:v>
      </x:c>
      <x:c r="G1264" s="4"/>
      <x:c r="H1264" s="6"/>
      <x:c r="I1264" s="16">
        <x:v>1</x:v>
      </x:c>
      <x:c r="J1264">
        <x:v>35</x:v>
      </x:c>
      <x:c r="K1264" s="4">
        <x:v>35</x:v>
      </x:c>
      <x:c r="L1264" s="4">
        <x:v>36</x:v>
      </x:c>
      <x:c r="M1264" s="4">
        <x:v>31</x:v>
      </x:c>
      <x:c r="N1264" s="5">
        <x:v>0.8611</x:v>
      </x:c>
    </x:row>
    <x:row r="1265" ht="24" customHeight="1">
      <x:c r="A1265" s="1" t="inlineStr">
        <x:is>
          <x:t xml:space="preserve">RESULT</x:t>
        </x:is>
      </x:c>
      <x:c r="B1265" s="1" t="inlineStr">
        <x:is>
          <x:t xml:space="preserve">Round2</x:t>
        </x:is>
      </x:c>
      <x:c r="C1265" s="1" t="inlineStr">
        <x:is>
          <x:t xml:space="preserve">JacksonDatabind_17</x:t>
        </x:is>
      </x:c>
      <x:c r="D1265" s="1" t="inlineStr">
        <x:is>
          <x:t xml:space="preserve">NOT_AVAILABLE</x:t>
        </x:is>
      </x:c>
      <x:c r="E1265" s="5"/>
      <x:c r="F1265" s="4">
        <x:v>0</x:v>
      </x:c>
      <x:c r="G1265" s="4">
        <x:v>22989</x:v>
      </x:c>
      <x:c r="H1265" s="6">
        <x:v>73.15</x:v>
      </x:c>
      <x:c r="I1265" s="16">
        <x:v>1</x:v>
      </x:c>
      <x:c r="J1265"/>
      <x:c r="K1265" s="4"/>
      <x:c r="L1265" s="4"/>
      <x:c r="M1265" s="4"/>
      <x:c r="N1265" s="5"/>
    </x:row>
    <x:row r="1266" ht="24" customHeight="1">
      <x:c r="A1266" s="1" t="inlineStr">
        <x:is>
          <x:t xml:space="preserve">RESULT</x:t>
        </x:is>
      </x:c>
      <x:c r="B1266" s="1" t="inlineStr">
        <x:is>
          <x:t xml:space="preserve">Round2</x:t>
        </x:is>
      </x:c>
      <x:c r="C1266" s="1" t="inlineStr">
        <x:is>
          <x:t xml:space="preserve">JacksonDatabind_18</x:t>
        </x:is>
      </x:c>
      <x:c r="D1266" s="1" t="inlineStr">
        <x:is>
          <x:t xml:space="preserve">NOT_AVAILABLE</x:t>
        </x:is>
      </x:c>
      <x:c r="E1266" s="5"/>
      <x:c r="F1266" s="4">
        <x:v>0</x:v>
      </x:c>
      <x:c r="G1266" s="4">
        <x:v>22728</x:v>
      </x:c>
      <x:c r="H1266" s="6">
        <x:v>832.92</x:v>
      </x:c>
      <x:c r="I1266" s="16">
        <x:v>1</x:v>
      </x:c>
      <x:c r="J1266"/>
      <x:c r="K1266" s="4"/>
      <x:c r="L1266" s="4"/>
      <x:c r="M1266" s="4"/>
      <x:c r="N1266" s="5"/>
    </x:row>
    <x:row r="1267" ht="24" customHeight="1">
      <x:c r="A1267" s="1" t="inlineStr">
        <x:is>
          <x:t xml:space="preserve">RESULT</x:t>
        </x:is>
      </x:c>
      <x:c r="B1267" s="1" t="inlineStr">
        <x:is>
          <x:t xml:space="preserve">Round2</x:t>
        </x:is>
      </x:c>
      <x:c r="C1267" s="1" t="inlineStr">
        <x:is>
          <x:t xml:space="preserve">JacksonDatabind_19</x:t>
        </x:is>
      </x:c>
      <x:c r="D1267" s="1" t="inlineStr">
        <x:is>
          <x:t xml:space="preserve">NOT_AVAILABLE</x:t>
        </x:is>
      </x:c>
      <x:c r="E1267" s="5"/>
      <x:c r="F1267" s="4">
        <x:v>0</x:v>
      </x:c>
      <x:c r="G1267" s="4">
        <x:v>20107</x:v>
      </x:c>
      <x:c r="H1267" s="6">
        <x:v>111.47</x:v>
      </x:c>
      <x:c r="I1267" s="16">
        <x:v>1</x:v>
      </x:c>
      <x:c r="J1267"/>
      <x:c r="K1267" s="4"/>
      <x:c r="L1267" s="4"/>
      <x:c r="M1267" s="4"/>
      <x:c r="N1267" s="5"/>
    </x:row>
    <x:row r="1268" ht="24" customHeight="1">
      <x:c r="A1268" s="1" t="inlineStr">
        <x:is>
          <x:t xml:space="preserve">RESULT</x:t>
        </x:is>
      </x:c>
      <x:c r="B1268" s="1" t="inlineStr">
        <x:is>
          <x:t xml:space="preserve">Round2</x:t>
        </x:is>
      </x:c>
      <x:c r="C1268" s="1" t="inlineStr">
        <x:is>
          <x:t xml:space="preserve">JacksonDatabind_2</x:t>
        </x:is>
      </x:c>
      <x:c r="D1268" s="1" t="inlineStr">
        <x:is>
          <x:t xml:space="preserve">NOT_AVAILABLE</x:t>
        </x:is>
      </x:c>
      <x:c r="E1268" s="5"/>
      <x:c r="F1268" s="4">
        <x:v>0</x:v>
      </x:c>
      <x:c r="G1268" s="4">
        <x:v>17491</x:v>
      </x:c>
      <x:c r="H1268" s="6">
        <x:v>119.88</x:v>
      </x:c>
      <x:c r="I1268" s="16">
        <x:v>1</x:v>
      </x:c>
      <x:c r="J1268"/>
      <x:c r="K1268" s="4"/>
      <x:c r="L1268" s="4"/>
      <x:c r="M1268" s="4"/>
      <x:c r="N1268" s="5"/>
    </x:row>
    <x:row r="1269" ht="24" customHeight="1">
      <x:c r="A1269" s="1" t="inlineStr">
        <x:is>
          <x:t xml:space="preserve">RESULT</x:t>
        </x:is>
      </x:c>
      <x:c r="B1269" s="1" t="inlineStr">
        <x:is>
          <x:t xml:space="preserve">Round2</x:t>
        </x:is>
      </x:c>
      <x:c r="C1269" s="1" t="inlineStr">
        <x:is>
          <x:t xml:space="preserve">JacksonDatabind_20</x:t>
        </x:is>
      </x:c>
      <x:c r="D1269" s="1" t="inlineStr">
        <x:is>
          <x:t xml:space="preserve">NOT_AVAILABLE</x:t>
        </x:is>
      </x:c>
      <x:c r="E1269" s="5"/>
      <x:c r="F1269" s="4">
        <x:v>0</x:v>
      </x:c>
      <x:c r="G1269" s="4">
        <x:v>15853</x:v>
      </x:c>
      <x:c r="H1269" s="6">
        <x:v>68.88</x:v>
      </x:c>
      <x:c r="I1269" s="16">
        <x:v>1</x:v>
      </x:c>
      <x:c r="J1269"/>
      <x:c r="K1269" s="4"/>
      <x:c r="L1269" s="4"/>
      <x:c r="M1269" s="4"/>
      <x:c r="N1269" s="5"/>
    </x:row>
    <x:row r="1270" ht="24" customHeight="1">
      <x:c r="A1270" s="1" t="inlineStr">
        <x:is>
          <x:t xml:space="preserve">RESULT</x:t>
        </x:is>
      </x:c>
      <x:c r="B1270" s="1" t="inlineStr">
        <x:is>
          <x:t xml:space="preserve">Round2</x:t>
        </x:is>
      </x:c>
      <x:c r="C1270" s="1" t="inlineStr">
        <x:is>
          <x:t xml:space="preserve">JacksonDatabind_21</x:t>
        </x:is>
      </x:c>
      <x:c r="D1270" s="1" t="inlineStr">
        <x:is>
          <x:t xml:space="preserve">NOT_AVAILABLE</x:t>
        </x:is>
      </x:c>
      <x:c r="E1270" s="5"/>
      <x:c r="F1270" s="4">
        <x:v>0</x:v>
      </x:c>
      <x:c r="G1270" s="4">
        <x:v>28939</x:v>
      </x:c>
      <x:c r="H1270" s="6">
        <x:v>189.01</x:v>
      </x:c>
      <x:c r="I1270" s="16">
        <x:v>1</x:v>
      </x:c>
      <x:c r="J1270"/>
      <x:c r="K1270" s="4"/>
      <x:c r="L1270" s="4"/>
      <x:c r="M1270" s="4"/>
      <x:c r="N1270" s="5"/>
    </x:row>
    <x:row r="1271" ht="24" customHeight="1">
      <x:c r="A1271" s="1" t="inlineStr">
        <x:is>
          <x:t xml:space="preserve">RESULT</x:t>
        </x:is>
      </x:c>
      <x:c r="B1271" s="1" t="inlineStr">
        <x:is>
          <x:t xml:space="preserve">Round2</x:t>
        </x:is>
      </x:c>
      <x:c r="C1271" s="1" t="inlineStr">
        <x:is>
          <x:t xml:space="preserve">JacksonDatabind_22</x:t>
        </x:is>
      </x:c>
      <x:c r="D1271" s="1" t="inlineStr">
        <x:is>
          <x:t xml:space="preserve">NOT_AVAILABLE</x:t>
        </x:is>
      </x:c>
      <x:c r="E1271" s="5"/>
      <x:c r="F1271" s="4">
        <x:v>0</x:v>
      </x:c>
      <x:c r="G1271" s="4">
        <x:v>36049</x:v>
      </x:c>
      <x:c r="H1271" s="6">
        <x:v>194.02</x:v>
      </x:c>
      <x:c r="I1271" s="16">
        <x:v>1</x:v>
      </x:c>
      <x:c r="J1271"/>
      <x:c r="K1271" s="4"/>
      <x:c r="L1271" s="4"/>
      <x:c r="M1271" s="4"/>
      <x:c r="N1271" s="5"/>
    </x:row>
    <x:row r="1272" ht="24" customHeight="1">
      <x:c r="A1272" s="1" t="inlineStr">
        <x:is>
          <x:t xml:space="preserve">RESULT</x:t>
        </x:is>
      </x:c>
      <x:c r="B1272" s="1" t="inlineStr">
        <x:is>
          <x:t xml:space="preserve">Round2</x:t>
        </x:is>
      </x:c>
      <x:c r="C1272" s="1" t="inlineStr">
        <x:is>
          <x:t xml:space="preserve">JacksonDatabind_23</x:t>
        </x:is>
      </x:c>
      <x:c r="D1272" s="1" t="inlineStr">
        <x:is>
          <x:t xml:space="preserve">NOT_AVAILABLE</x:t>
        </x:is>
      </x:c>
      <x:c r="E1272" s="5"/>
      <x:c r="F1272" s="4">
        <x:v>0</x:v>
      </x:c>
      <x:c r="G1272" s="4">
        <x:v>42721</x:v>
      </x:c>
      <x:c r="H1272" s="6">
        <x:v>196.22</x:v>
      </x:c>
      <x:c r="I1272" s="16">
        <x:v>1</x:v>
      </x:c>
      <x:c r="J1272"/>
      <x:c r="K1272" s="4"/>
      <x:c r="L1272" s="4"/>
      <x:c r="M1272" s="4"/>
      <x:c r="N1272" s="5"/>
    </x:row>
    <x:row r="1273" ht="24" customHeight="1">
      <x:c r="A1273" s="1" t="inlineStr">
        <x:is>
          <x:t xml:space="preserve">RESULT</x:t>
        </x:is>
      </x:c>
      <x:c r="B1273" s="1" t="inlineStr">
        <x:is>
          <x:t xml:space="preserve">Round2</x:t>
        </x:is>
      </x:c>
      <x:c r="C1273" s="1" t="inlineStr">
        <x:is>
          <x:t xml:space="preserve">JacksonDatabind_24</x:t>
        </x:is>
      </x:c>
      <x:c r="D1273" s="1" t="inlineStr">
        <x:is>
          <x:t xml:space="preserve">NOT_AVAILABLE</x:t>
        </x:is>
      </x:c>
      <x:c r="E1273" s="5"/>
      <x:c r="F1273" s="4">
        <x:v>0</x:v>
      </x:c>
      <x:c r="G1273" s="4">
        <x:v>21652</x:v>
      </x:c>
      <x:c r="H1273" s="6">
        <x:v>160.47</x:v>
      </x:c>
      <x:c r="I1273" s="16">
        <x:v>1</x:v>
      </x:c>
      <x:c r="J1273"/>
      <x:c r="K1273" s="4"/>
      <x:c r="L1273" s="4"/>
      <x:c r="M1273" s="4"/>
      <x:c r="N1273" s="5"/>
    </x:row>
    <x:row r="1274" ht="24" customHeight="1">
      <x:c r="A1274" s="1" t="inlineStr">
        <x:is>
          <x:t xml:space="preserve">RESULT</x:t>
        </x:is>
      </x:c>
      <x:c r="B1274" s="1" t="inlineStr">
        <x:is>
          <x:t xml:space="preserve">Round2</x:t>
        </x:is>
      </x:c>
      <x:c r="C1274" s="1" t="inlineStr">
        <x:is>
          <x:t xml:space="preserve">JacksonDatabind_25</x:t>
        </x:is>
      </x:c>
      <x:c r="D1274" s="1" t="inlineStr">
        <x:is>
          <x:t xml:space="preserve">NOT_AVAILABLE</x:t>
        </x:is>
      </x:c>
      <x:c r="E1274" s="5"/>
      <x:c r="F1274" s="4">
        <x:v>0</x:v>
      </x:c>
      <x:c r="G1274" s="4">
        <x:v>137569</x:v>
      </x:c>
      <x:c r="H1274" s="6">
        <x:v>545.59</x:v>
      </x:c>
      <x:c r="I1274" s="16">
        <x:v>1</x:v>
      </x:c>
      <x:c r="J1274"/>
      <x:c r="K1274" s="4"/>
      <x:c r="L1274" s="4"/>
      <x:c r="M1274" s="4"/>
      <x:c r="N1274" s="5"/>
    </x:row>
    <x:row r="1275" ht="24" customHeight="1">
      <x:c r="A1275" s="1" t="inlineStr">
        <x:is>
          <x:t xml:space="preserve">RESULT</x:t>
        </x:is>
      </x:c>
      <x:c r="B1275" s="1" t="inlineStr">
        <x:is>
          <x:t xml:space="preserve">Round2</x:t>
        </x:is>
      </x:c>
      <x:c r="C1275" s="1" t="inlineStr">
        <x:is>
          <x:t xml:space="preserve">JacksonDatabind_26</x:t>
        </x:is>
      </x:c>
      <x:c r="D1275" s="1" t="inlineStr">
        <x:is>
          <x:t xml:space="preserve">NOT_AVAILABLE</x:t>
        </x:is>
      </x:c>
      <x:c r="E1275" s="5"/>
      <x:c r="F1275" s="4">
        <x:v>0</x:v>
      </x:c>
      <x:c r="G1275" s="4">
        <x:v>26254</x:v>
      </x:c>
      <x:c r="H1275" s="6">
        <x:v>181.67</x:v>
      </x:c>
      <x:c r="I1275" s="16">
        <x:v>1</x:v>
      </x:c>
      <x:c r="J1275"/>
      <x:c r="K1275" s="4"/>
      <x:c r="L1275" s="4"/>
      <x:c r="M1275" s="4"/>
      <x:c r="N1275" s="5"/>
    </x:row>
    <x:row r="1276" ht="24" customHeight="1">
      <x:c r="A1276" s="1" t="inlineStr">
        <x:is>
          <x:t xml:space="preserve">RESULT</x:t>
        </x:is>
      </x:c>
      <x:c r="B1276" s="1" t="inlineStr">
        <x:is>
          <x:t xml:space="preserve">Round2</x:t>
        </x:is>
      </x:c>
      <x:c r="C1276" s="1" t="inlineStr">
        <x:is>
          <x:t xml:space="preserve">JacksonDatabind_27</x:t>
        </x:is>
      </x:c>
      <x:c r="D1276" s="1" t="inlineStr">
        <x:is>
          <x:t xml:space="preserve">NOT_AVAILABLE</x:t>
        </x:is>
      </x:c>
      <x:c r="E1276" s="5"/>
      <x:c r="F1276" s="4">
        <x:v>0</x:v>
      </x:c>
      <x:c r="G1276" s="4">
        <x:v>13235</x:v>
      </x:c>
      <x:c r="H1276" s="6">
        <x:v>58.45</x:v>
      </x:c>
      <x:c r="I1276" s="16">
        <x:v>1</x:v>
      </x:c>
      <x:c r="J1276"/>
      <x:c r="K1276" s="4"/>
      <x:c r="L1276" s="4"/>
      <x:c r="M1276" s="4"/>
      <x:c r="N1276" s="5"/>
    </x:row>
    <x:row r="1277" ht="24" customHeight="1">
      <x:c r="A1277" s="1" t="inlineStr">
        <x:is>
          <x:t xml:space="preserve">RESULT</x:t>
        </x:is>
      </x:c>
      <x:c r="B1277" s="1" t="inlineStr">
        <x:is>
          <x:t xml:space="preserve">Round2</x:t>
        </x:is>
      </x:c>
      <x:c r="C1277" s="1" t="inlineStr">
        <x:is>
          <x:t xml:space="preserve">JacksonDatabind_28</x:t>
        </x:is>
      </x:c>
      <x:c r="D1277" s="1" t="inlineStr">
        <x:is>
          <x:t xml:space="preserve">NOT_AVAILABLE</x:t>
        </x:is>
      </x:c>
      <x:c r="E1277" s="5"/>
      <x:c r="F1277" s="4">
        <x:v>0</x:v>
      </x:c>
      <x:c r="G1277" s="4">
        <x:v>13261</x:v>
      </x:c>
      <x:c r="H1277" s="6">
        <x:v>66.39</x:v>
      </x:c>
      <x:c r="I1277" s="16">
        <x:v>1</x:v>
      </x:c>
      <x:c r="J1277"/>
      <x:c r="K1277" s="4"/>
      <x:c r="L1277" s="4"/>
      <x:c r="M1277" s="4"/>
      <x:c r="N1277" s="5"/>
    </x:row>
    <x:row r="1278" ht="24" customHeight="1">
      <x:c r="A1278" s="1" t="inlineStr">
        <x:is>
          <x:t xml:space="preserve">RESULT</x:t>
        </x:is>
      </x:c>
      <x:c r="B1278" s="1" t="inlineStr">
        <x:is>
          <x:t xml:space="preserve">Round2</x:t>
        </x:is>
      </x:c>
      <x:c r="C1278" s="1" t="inlineStr">
        <x:is>
          <x:t xml:space="preserve">JacksonDatabind_29</x:t>
        </x:is>
      </x:c>
      <x:c r="D1278" s="1" t="inlineStr">
        <x:is>
          <x:t xml:space="preserve">NOT_AVAILABLE</x:t>
        </x:is>
      </x:c>
      <x:c r="E1278" s="5"/>
      <x:c r="F1278" s="4">
        <x:v>0</x:v>
      </x:c>
      <x:c r="G1278" s="4">
        <x:v>9405</x:v>
      </x:c>
      <x:c r="H1278" s="6">
        <x:v>40.82</x:v>
      </x:c>
      <x:c r="I1278" s="16">
        <x:v>1</x:v>
      </x:c>
      <x:c r="J1278"/>
      <x:c r="K1278" s="4"/>
      <x:c r="L1278" s="4"/>
      <x:c r="M1278" s="4"/>
      <x:c r="N1278" s="5"/>
    </x:row>
    <x:row r="1279" ht="24" customHeight="1">
      <x:c r="A1279" s="1" t="inlineStr">
        <x:is>
          <x:t xml:space="preserve">RESULT</x:t>
        </x:is>
      </x:c>
      <x:c r="B1279" s="1" t="inlineStr">
        <x:is>
          <x:t xml:space="preserve">Round2</x:t>
        </x:is>
      </x:c>
      <x:c r="C1279" s="1" t="inlineStr">
        <x:is>
          <x:t xml:space="preserve">JacksonDatabind_3</x:t>
        </x:is>
      </x:c>
      <x:c r="D1279" s="1" t="inlineStr">
        <x:is>
          <x:t xml:space="preserve">NOT_AVAILABLE</x:t>
        </x:is>
      </x:c>
      <x:c r="E1279" s="5"/>
      <x:c r="F1279" s="4">
        <x:v>0</x:v>
      </x:c>
      <x:c r="G1279" s="4">
        <x:v>19502</x:v>
      </x:c>
      <x:c r="H1279" s="6">
        <x:v>157.03</x:v>
      </x:c>
      <x:c r="I1279" s="16">
        <x:v>1</x:v>
      </x:c>
      <x:c r="J1279"/>
      <x:c r="K1279" s="4"/>
      <x:c r="L1279" s="4"/>
      <x:c r="M1279" s="4"/>
      <x:c r="N1279" s="5"/>
    </x:row>
    <x:row r="1280" ht="24" customHeight="1">
      <x:c r="A1280" s="1" t="inlineStr">
        <x:is>
          <x:t xml:space="preserve">RESULT</x:t>
        </x:is>
      </x:c>
      <x:c r="B1280" s="1" t="inlineStr">
        <x:is>
          <x:t xml:space="preserve">Round2</x:t>
        </x:is>
      </x:c>
      <x:c r="C1280" s="1" t="inlineStr">
        <x:is>
          <x:t xml:space="preserve">JacksonDatabind_30</x:t>
        </x:is>
      </x:c>
      <x:c r="D1280" s="1" t="inlineStr">
        <x:is>
          <x:t xml:space="preserve">NOT_AVAILABLE</x:t>
        </x:is>
      </x:c>
      <x:c r="E1280" s="5"/>
      <x:c r="F1280" s="4">
        <x:v>0</x:v>
      </x:c>
      <x:c r="G1280" s="4">
        <x:v>78935</x:v>
      </x:c>
      <x:c r="H1280" s="6">
        <x:v>255.19</x:v>
      </x:c>
      <x:c r="I1280" s="16">
        <x:v>1</x:v>
      </x:c>
      <x:c r="J1280"/>
      <x:c r="K1280" s="4"/>
      <x:c r="L1280" s="4"/>
      <x:c r="M1280" s="4"/>
      <x:c r="N1280" s="5"/>
    </x:row>
    <x:row r="1281" ht="24" customHeight="1">
      <x:c r="A1281" s="1" t="inlineStr">
        <x:is>
          <x:t xml:space="preserve">RESULT</x:t>
        </x:is>
      </x:c>
      <x:c r="B1281" s="1" t="inlineStr">
        <x:is>
          <x:t xml:space="preserve">Round2</x:t>
        </x:is>
      </x:c>
      <x:c r="C1281" s="1" t="inlineStr">
        <x:is>
          <x:t xml:space="preserve">JacksonDatabind_31</x:t>
        </x:is>
      </x:c>
      <x:c r="D1281" s="1" t="inlineStr">
        <x:is>
          <x:t xml:space="preserve">NOT_AVAILABLE</x:t>
        </x:is>
      </x:c>
      <x:c r="E1281" s="5"/>
      <x:c r="F1281" s="4">
        <x:v>0</x:v>
      </x:c>
      <x:c r="G1281" s="4">
        <x:v>28856</x:v>
      </x:c>
      <x:c r="H1281" s="6">
        <x:v>788.38</x:v>
      </x:c>
      <x:c r="I1281" s="16">
        <x:v>1</x:v>
      </x:c>
      <x:c r="J1281"/>
      <x:c r="K1281" s="4"/>
      <x:c r="L1281" s="4"/>
      <x:c r="M1281" s="4"/>
      <x:c r="N1281" s="5"/>
    </x:row>
    <x:row r="1282" ht="24" customHeight="1">
      <x:c r="A1282" s="1" t="inlineStr">
        <x:is>
          <x:t xml:space="preserve">RESULT</x:t>
        </x:is>
      </x:c>
      <x:c r="B1282" s="1" t="inlineStr">
        <x:is>
          <x:t xml:space="preserve">Round2</x:t>
        </x:is>
      </x:c>
      <x:c r="C1282" s="1" t="inlineStr">
        <x:is>
          <x:t xml:space="preserve">JacksonDatabind_32</x:t>
        </x:is>
      </x:c>
      <x:c r="D1282" s="1" t="inlineStr">
        <x:is>
          <x:t xml:space="preserve">NOT_AVAILABLE</x:t>
        </x:is>
      </x:c>
      <x:c r="E1282" s="5"/>
      <x:c r="F1282" s="4">
        <x:v>0</x:v>
      </x:c>
      <x:c r="G1282" s="4">
        <x:v>16517</x:v>
      </x:c>
      <x:c r="H1282" s="6">
        <x:v>81.53</x:v>
      </x:c>
      <x:c r="I1282" s="16">
        <x:v>1</x:v>
      </x:c>
      <x:c r="J1282"/>
      <x:c r="K1282" s="4"/>
      <x:c r="L1282" s="4"/>
      <x:c r="M1282" s="4"/>
      <x:c r="N1282" s="5"/>
    </x:row>
    <x:row r="1283" ht="24" customHeight="1">
      <x:c r="A1283" s="1" t="inlineStr">
        <x:is>
          <x:t xml:space="preserve">RESULT</x:t>
        </x:is>
      </x:c>
      <x:c r="B1283" s="1" t="inlineStr">
        <x:is>
          <x:t xml:space="preserve">Round2</x:t>
        </x:is>
      </x:c>
      <x:c r="C1283" s="1" t="inlineStr">
        <x:is>
          <x:t xml:space="preserve">JacksonDatabind_33</x:t>
        </x:is>
      </x:c>
      <x:c r="D1283" s="1" t="inlineStr">
        <x:is>
          <x:t xml:space="preserve">NOT_AVAILABLE</x:t>
        </x:is>
      </x:c>
      <x:c r="E1283" s="5"/>
      <x:c r="F1283" s="4">
        <x:v>0</x:v>
      </x:c>
      <x:c r="G1283" s="4">
        <x:v>14894</x:v>
      </x:c>
      <x:c r="H1283" s="6">
        <x:v>60.94</x:v>
      </x:c>
      <x:c r="I1283" s="16">
        <x:v>1</x:v>
      </x:c>
      <x:c r="J1283"/>
      <x:c r="K1283" s="4"/>
      <x:c r="L1283" s="4"/>
      <x:c r="M1283" s="4"/>
      <x:c r="N1283" s="5"/>
    </x:row>
    <x:row r="1284" ht="24" customHeight="1">
      <x:c r="A1284" s="1" t="inlineStr">
        <x:is>
          <x:t xml:space="preserve">RESULT</x:t>
        </x:is>
      </x:c>
      <x:c r="B1284" s="1" t="inlineStr">
        <x:is>
          <x:t xml:space="preserve">Round2</x:t>
        </x:is>
      </x:c>
      <x:c r="C1284" s="1" t="inlineStr">
        <x:is>
          <x:t xml:space="preserve">JacksonDatabind_34</x:t>
        </x:is>
      </x:c>
      <x:c r="D1284" s="1" t="inlineStr">
        <x:is>
          <x:t xml:space="preserve">NOT_AVAILABLE</x:t>
        </x:is>
      </x:c>
      <x:c r="E1284" s="5"/>
      <x:c r="F1284" s="4">
        <x:v>0</x:v>
      </x:c>
      <x:c r="G1284" s="4">
        <x:v>20556</x:v>
      </x:c>
      <x:c r="H1284" s="6">
        <x:v>159.3</x:v>
      </x:c>
      <x:c r="I1284" s="16">
        <x:v>1</x:v>
      </x:c>
      <x:c r="J1284"/>
      <x:c r="K1284" s="4"/>
      <x:c r="L1284" s="4"/>
      <x:c r="M1284" s="4"/>
      <x:c r="N1284" s="5"/>
    </x:row>
    <x:row r="1285" ht="24" customHeight="1">
      <x:c r="A1285" s="1" t="inlineStr">
        <x:is>
          <x:t xml:space="preserve">RESULT</x:t>
        </x:is>
      </x:c>
      <x:c r="B1285" s="1" t="inlineStr">
        <x:is>
          <x:t xml:space="preserve">Round2</x:t>
        </x:is>
      </x:c>
      <x:c r="C1285" s="1" t="inlineStr">
        <x:is>
          <x:t xml:space="preserve">JacksonDatabind_35</x:t>
        </x:is>
      </x:c>
      <x:c r="D1285" s="1" t="inlineStr">
        <x:is>
          <x:t xml:space="preserve">NOT_AVAILABLE</x:t>
        </x:is>
      </x:c>
      <x:c r="E1285" s="5"/>
      <x:c r="F1285" s="4">
        <x:v>0</x:v>
      </x:c>
      <x:c r="G1285" s="4">
        <x:v>23008</x:v>
      </x:c>
      <x:c r="H1285" s="6">
        <x:v>106.54</x:v>
      </x:c>
      <x:c r="I1285" s="16">
        <x:v>1</x:v>
      </x:c>
      <x:c r="J1285"/>
      <x:c r="K1285" s="4"/>
      <x:c r="L1285" s="4"/>
      <x:c r="M1285" s="4"/>
      <x:c r="N1285" s="5"/>
    </x:row>
    <x:row r="1286" ht="24" customHeight="1">
      <x:c r="A1286" s="1" t="inlineStr">
        <x:is>
          <x:t xml:space="preserve">RESULT</x:t>
        </x:is>
      </x:c>
      <x:c r="B1286" s="1" t="inlineStr">
        <x:is>
          <x:t xml:space="preserve">Round2</x:t>
        </x:is>
      </x:c>
      <x:c r="C1286" s="1" t="inlineStr">
        <x:is>
          <x:t xml:space="preserve">JacksonDatabind_36</x:t>
        </x:is>
      </x:c>
      <x:c r="D1286" s="1" t="inlineStr">
        <x:is>
          <x:t xml:space="preserve">INCONCLUSIVE</x:t>
        </x:is>
      </x:c>
      <x:c r="E1286" s="5">
        <x:v>0.8445999999999999</x:v>
      </x:c>
      <x:c r="F1286" s="4">
        <x:v>0</x:v>
      </x:c>
      <x:c r="G1286" s="4"/>
      <x:c r="H1286" s="6"/>
      <x:c r="I1286" s="16">
        <x:v>1</x:v>
      </x:c>
      <x:c r="J1286">
        <x:v>193</x:v>
      </x:c>
      <x:c r="K1286" s="4">
        <x:v>163</x:v>
      </x:c>
      <x:c r="L1286" s="4">
        <x:v>130</x:v>
      </x:c>
      <x:c r="M1286" s="4">
        <x:v>92</x:v>
      </x:c>
      <x:c r="N1286" s="5">
        <x:v>0.7077</x:v>
      </x:c>
    </x:row>
    <x:row r="1287" ht="24" customHeight="1">
      <x:c r="A1287" s="1" t="inlineStr">
        <x:is>
          <x:t xml:space="preserve">RESULT</x:t>
        </x:is>
      </x:c>
      <x:c r="B1287" s="1" t="inlineStr">
        <x:is>
          <x:t xml:space="preserve">Round2</x:t>
        </x:is>
      </x:c>
      <x:c r="C1287" s="1" t="inlineStr">
        <x:is>
          <x:t xml:space="preserve">JacksonDatabind_37</x:t>
        </x:is>
      </x:c>
      <x:c r="D1287" s="1" t="inlineStr">
        <x:is>
          <x:t xml:space="preserve">NOT_REVEALING</x:t>
        </x:is>
      </x:c>
      <x:c r="E1287" s="5">
        <x:v>0.7164</x:v>
      </x:c>
      <x:c r="F1287" s="4">
        <x:v>0</x:v>
      </x:c>
      <x:c r="G1287" s="4">
        <x:v>9535</x:v>
      </x:c>
      <x:c r="H1287" s="6">
        <x:v>56.41</x:v>
      </x:c>
      <x:c r="I1287" s="16">
        <x:v>1</x:v>
      </x:c>
      <x:c r="J1287">
        <x:v>67</x:v>
      </x:c>
      <x:c r="K1287" s="4">
        <x:v>48</x:v>
      </x:c>
      <x:c r="L1287" s="4">
        <x:v>32</x:v>
      </x:c>
      <x:c r="M1287" s="4">
        <x:v>22</x:v>
      </x:c>
      <x:c r="N1287" s="5">
        <x:v>0.6875</x:v>
      </x:c>
    </x:row>
    <x:row r="1288" ht="24" customHeight="1">
      <x:c r="A1288" s="1" t="inlineStr">
        <x:is>
          <x:t xml:space="preserve">RESULT</x:t>
        </x:is>
      </x:c>
      <x:c r="B1288" s="1" t="inlineStr">
        <x:is>
          <x:t xml:space="preserve">Round2</x:t>
        </x:is>
      </x:c>
      <x:c r="C1288" s="1" t="inlineStr">
        <x:is>
          <x:t xml:space="preserve">JacksonDatabind_38</x:t>
        </x:is>
      </x:c>
      <x:c r="D1288" s="1" t="inlineStr">
        <x:is>
          <x:t xml:space="preserve">NOT_AVAILABLE</x:t>
        </x:is>
      </x:c>
      <x:c r="E1288" s="5"/>
      <x:c r="F1288" s="4">
        <x:v>0</x:v>
      </x:c>
      <x:c r="G1288" s="4">
        <x:v>36027</x:v>
      </x:c>
      <x:c r="H1288" s="6">
        <x:v>179.27</x:v>
      </x:c>
      <x:c r="I1288" s="16">
        <x:v>1</x:v>
      </x:c>
      <x:c r="J1288"/>
      <x:c r="K1288" s="4"/>
      <x:c r="L1288" s="4"/>
      <x:c r="M1288" s="4"/>
      <x:c r="N1288" s="5"/>
    </x:row>
    <x:row r="1289" ht="24" customHeight="1">
      <x:c r="A1289" s="1" t="inlineStr">
        <x:is>
          <x:t xml:space="preserve">RESULT</x:t>
        </x:is>
      </x:c>
      <x:c r="B1289" s="1" t="inlineStr">
        <x:is>
          <x:t xml:space="preserve">Round2</x:t>
        </x:is>
      </x:c>
      <x:c r="C1289" s="1" t="inlineStr">
        <x:is>
          <x:t xml:space="preserve">JacksonDatabind_39</x:t>
        </x:is>
      </x:c>
      <x:c r="D1289" s="1" t="inlineStr">
        <x:is>
          <x:t xml:space="preserve">INCONCLUSIVE</x:t>
        </x:is>
      </x:c>
      <x:c r="E1289" s="5">
        <x:v>1.0</x:v>
      </x:c>
      <x:c r="F1289" s="4">
        <x:v>0</x:v>
      </x:c>
      <x:c r="G1289" s="4"/>
      <x:c r="H1289" s="6"/>
      <x:c r="I1289" s="16">
        <x:v>1</x:v>
      </x:c>
      <x:c r="J1289">
        <x:v>7</x:v>
      </x:c>
      <x:c r="K1289" s="4">
        <x:v>7</x:v>
      </x:c>
      <x:c r="L1289" s="4">
        <x:v>2</x:v>
      </x:c>
      <x:c r="M1289" s="4">
        <x:v>2</x:v>
      </x:c>
      <x:c r="N1289" s="5">
        <x:v>1.0</x:v>
      </x:c>
    </x:row>
    <x:row r="1290" ht="24" customHeight="1">
      <x:c r="A1290" s="1" t="inlineStr">
        <x:is>
          <x:t xml:space="preserve">RESULT</x:t>
        </x:is>
      </x:c>
      <x:c r="B1290" s="1" t="inlineStr">
        <x:is>
          <x:t xml:space="preserve">Round2</x:t>
        </x:is>
      </x:c>
      <x:c r="C1290" s="1" t="inlineStr">
        <x:is>
          <x:t xml:space="preserve">JacksonDatabind_4</x:t>
        </x:is>
      </x:c>
      <x:c r="D1290" s="1" t="inlineStr">
        <x:is>
          <x:t xml:space="preserve">NOT_AVAILABLE</x:t>
        </x:is>
      </x:c>
      <x:c r="E1290" s="5"/>
      <x:c r="F1290" s="4">
        <x:v>0</x:v>
      </x:c>
      <x:c r="G1290" s="4">
        <x:v>40690</x:v>
      </x:c>
      <x:c r="H1290" s="6">
        <x:v>184.75</x:v>
      </x:c>
      <x:c r="I1290" s="16">
        <x:v>1</x:v>
      </x:c>
      <x:c r="J1290"/>
      <x:c r="K1290" s="4"/>
      <x:c r="L1290" s="4"/>
      <x:c r="M1290" s="4"/>
      <x:c r="N1290" s="5"/>
    </x:row>
    <x:row r="1291" ht="24" customHeight="1">
      <x:c r="A1291" s="1" t="inlineStr">
        <x:is>
          <x:t xml:space="preserve">RESULT</x:t>
        </x:is>
      </x:c>
      <x:c r="B1291" s="1" t="inlineStr">
        <x:is>
          <x:t xml:space="preserve">Round2</x:t>
        </x:is>
      </x:c>
      <x:c r="C1291" s="1" t="inlineStr">
        <x:is>
          <x:t xml:space="preserve">JacksonDatabind_40</x:t>
        </x:is>
      </x:c>
      <x:c r="D1291" s="1" t="inlineStr">
        <x:is>
          <x:t xml:space="preserve">INCONCLUSIVE</x:t>
        </x:is>
      </x:c>
      <x:c r="E1291" s="5">
        <x:v>0.6804000000000001</x:v>
      </x:c>
      <x:c r="F1291" s="4">
        <x:v>0</x:v>
      </x:c>
      <x:c r="G1291" s="4"/>
      <x:c r="H1291" s="6"/>
      <x:c r="I1291" s="16">
        <x:v>1</x:v>
      </x:c>
      <x:c r="J1291">
        <x:v>219</x:v>
      </x:c>
      <x:c r="K1291" s="4">
        <x:v>149</x:v>
      </x:c>
      <x:c r="L1291" s="4">
        <x:v>130</x:v>
      </x:c>
      <x:c r="M1291" s="4">
        <x:v>83</x:v>
      </x:c>
      <x:c r="N1291" s="5">
        <x:v>0.6385000000000001</x:v>
      </x:c>
    </x:row>
    <x:row r="1292" ht="24" customHeight="1">
      <x:c r="A1292" s="1" t="inlineStr">
        <x:is>
          <x:t xml:space="preserve">RESULT</x:t>
        </x:is>
      </x:c>
      <x:c r="B1292" s="1" t="inlineStr">
        <x:is>
          <x:t xml:space="preserve">Round2</x:t>
        </x:is>
      </x:c>
      <x:c r="C1292" s="1" t="inlineStr">
        <x:is>
          <x:t xml:space="preserve">JacksonDatabind_41</x:t>
        </x:is>
      </x:c>
      <x:c r="D1292" s="1" t="inlineStr">
        <x:is>
          <x:t xml:space="preserve">NOT_AVAILABLE</x:t>
        </x:is>
      </x:c>
      <x:c r="E1292" s="5"/>
      <x:c r="F1292" s="4">
        <x:v>0</x:v>
      </x:c>
      <x:c r="G1292" s="4">
        <x:v>10460</x:v>
      </x:c>
      <x:c r="H1292" s="6">
        <x:v>24.3</x:v>
      </x:c>
      <x:c r="I1292" s="16">
        <x:v>1</x:v>
      </x:c>
      <x:c r="J1292"/>
      <x:c r="K1292" s="4"/>
      <x:c r="L1292" s="4"/>
      <x:c r="M1292" s="4"/>
      <x:c r="N1292" s="5"/>
    </x:row>
    <x:row r="1293" ht="24" customHeight="1">
      <x:c r="A1293" s="1" t="inlineStr">
        <x:is>
          <x:t xml:space="preserve">RESULT</x:t>
        </x:is>
      </x:c>
      <x:c r="B1293" s="1" t="inlineStr">
        <x:is>
          <x:t xml:space="preserve">Round2</x:t>
        </x:is>
      </x:c>
      <x:c r="C1293" s="1" t="inlineStr">
        <x:is>
          <x:t xml:space="preserve">JacksonDatabind_42</x:t>
        </x:is>
      </x:c>
      <x:c r="D1293" s="1" t="inlineStr">
        <x:is>
          <x:t xml:space="preserve">INCONCLUSIVE</x:t>
        </x:is>
      </x:c>
      <x:c r="E1293" s="5">
        <x:v>0.8818</x:v>
      </x:c>
      <x:c r="F1293" s="4">
        <x:v>0</x:v>
      </x:c>
      <x:c r="G1293" s="4">
        <x:v>48621</x:v>
      </x:c>
      <x:c r="H1293" s="6">
        <x:v>213.73</x:v>
      </x:c>
      <x:c r="I1293" s="16">
        <x:v>1</x:v>
      </x:c>
      <x:c r="J1293">
        <x:v>110</x:v>
      </x:c>
      <x:c r="K1293" s="4">
        <x:v>97</x:v>
      </x:c>
      <x:c r="L1293" s="4">
        <x:v>79</x:v>
      </x:c>
      <x:c r="M1293" s="4">
        <x:v>66</x:v>
      </x:c>
      <x:c r="N1293" s="5">
        <x:v>0.8354</x:v>
      </x:c>
    </x:row>
    <x:row r="1294" ht="24" customHeight="1">
      <x:c r="A1294" s="1" t="inlineStr">
        <x:is>
          <x:t xml:space="preserve">RESULT</x:t>
        </x:is>
      </x:c>
      <x:c r="B1294" s="1" t="inlineStr">
        <x:is>
          <x:t xml:space="preserve">Round2</x:t>
        </x:is>
      </x:c>
      <x:c r="C1294" s="1" t="inlineStr">
        <x:is>
          <x:t xml:space="preserve">JacksonDatabind_43</x:t>
        </x:is>
      </x:c>
      <x:c r="D1294" s="1" t="inlineStr">
        <x:is>
          <x:t xml:space="preserve">NOT_AVAILABLE</x:t>
        </x:is>
      </x:c>
      <x:c r="E1294" s="5"/>
      <x:c r="F1294" s="4">
        <x:v>0</x:v>
      </x:c>
      <x:c r="G1294" s="4">
        <x:v>44659</x:v>
      </x:c>
      <x:c r="H1294" s="6">
        <x:v>204.08</x:v>
      </x:c>
      <x:c r="I1294" s="16">
        <x:v>1</x:v>
      </x:c>
      <x:c r="J1294"/>
      <x:c r="K1294" s="4"/>
      <x:c r="L1294" s="4"/>
      <x:c r="M1294" s="4"/>
      <x:c r="N1294" s="5"/>
    </x:row>
    <x:row r="1295" ht="24" customHeight="1">
      <x:c r="A1295" s="1" t="inlineStr">
        <x:is>
          <x:t xml:space="preserve">RESULT</x:t>
        </x:is>
      </x:c>
      <x:c r="B1295" s="1" t="inlineStr">
        <x:is>
          <x:t xml:space="preserve">Round2</x:t>
        </x:is>
      </x:c>
      <x:c r="C1295" s="1" t="inlineStr">
        <x:is>
          <x:t xml:space="preserve">JacksonDatabind_44</x:t>
        </x:is>
      </x:c>
      <x:c r="D1295" s="1" t="inlineStr">
        <x:is>
          <x:t xml:space="preserve">NOT_REVEALING</x:t>
        </x:is>
      </x:c>
      <x:c r="E1295" s="5">
        <x:v>0.8533</x:v>
      </x:c>
      <x:c r="F1295" s="4">
        <x:v>0</x:v>
      </x:c>
      <x:c r="G1295" s="4"/>
      <x:c r="H1295" s="6"/>
      <x:c r="I1295" s="16">
        <x:v>1</x:v>
      </x:c>
      <x:c r="J1295">
        <x:v>75</x:v>
      </x:c>
      <x:c r="K1295" s="4">
        <x:v>64</x:v>
      </x:c>
      <x:c r="L1295" s="4">
        <x:v>36</x:v>
      </x:c>
      <x:c r="M1295" s="4">
        <x:v>32</x:v>
      </x:c>
      <x:c r="N1295" s="5">
        <x:v>0.8889</x:v>
      </x:c>
    </x:row>
    <x:row r="1296" ht="24" customHeight="1">
      <x:c r="A1296" s="1" t="inlineStr">
        <x:is>
          <x:t xml:space="preserve">RESULT</x:t>
        </x:is>
      </x:c>
      <x:c r="B1296" s="1" t="inlineStr">
        <x:is>
          <x:t xml:space="preserve">Round2</x:t>
        </x:is>
      </x:c>
      <x:c r="C1296" s="1" t="inlineStr">
        <x:is>
          <x:t xml:space="preserve">JacksonDatabind_45</x:t>
        </x:is>
      </x:c>
      <x:c r="D1296" s="1" t="inlineStr">
        <x:is>
          <x:t xml:space="preserve">NOT_AVAILABLE</x:t>
        </x:is>
      </x:c>
      <x:c r="E1296" s="5"/>
      <x:c r="F1296" s="4">
        <x:v>0</x:v>
      </x:c>
      <x:c r="G1296" s="4">
        <x:v>46292</x:v>
      </x:c>
      <x:c r="H1296" s="6">
        <x:v>208.37</x:v>
      </x:c>
      <x:c r="I1296" s="16">
        <x:v>1</x:v>
      </x:c>
      <x:c r="J1296"/>
      <x:c r="K1296" s="4"/>
      <x:c r="L1296" s="4"/>
      <x:c r="M1296" s="4"/>
      <x:c r="N1296" s="5"/>
    </x:row>
    <x:row r="1297" ht="24" customHeight="1">
      <x:c r="A1297" s="1" t="inlineStr">
        <x:is>
          <x:t xml:space="preserve">RESULT</x:t>
        </x:is>
      </x:c>
      <x:c r="B1297" s="1" t="inlineStr">
        <x:is>
          <x:t xml:space="preserve">Round2</x:t>
        </x:is>
      </x:c>
      <x:c r="C1297" s="1" t="inlineStr">
        <x:is>
          <x:t xml:space="preserve">JacksonDatabind_46</x:t>
        </x:is>
      </x:c>
      <x:c r="D1297" s="1" t="inlineStr">
        <x:is>
          <x:t xml:space="preserve">NOT_AVAILABLE</x:t>
        </x:is>
      </x:c>
      <x:c r="E1297" s="5"/>
      <x:c r="F1297" s="4">
        <x:v>0</x:v>
      </x:c>
      <x:c r="G1297" s="4">
        <x:v>12354</x:v>
      </x:c>
      <x:c r="H1297" s="6">
        <x:v>90.85</x:v>
      </x:c>
      <x:c r="I1297" s="16">
        <x:v>1</x:v>
      </x:c>
      <x:c r="J1297"/>
      <x:c r="K1297" s="4"/>
      <x:c r="L1297" s="4"/>
      <x:c r="M1297" s="4"/>
      <x:c r="N1297" s="5"/>
    </x:row>
    <x:row r="1298" ht="24" customHeight="1">
      <x:c r="A1298" s="1" t="inlineStr">
        <x:is>
          <x:t xml:space="preserve">RESULT</x:t>
        </x:is>
      </x:c>
      <x:c r="B1298" s="1" t="inlineStr">
        <x:is>
          <x:t xml:space="preserve">Round2</x:t>
        </x:is>
      </x:c>
      <x:c r="C1298" s="1" t="inlineStr">
        <x:is>
          <x:t xml:space="preserve">JacksonDatabind_47</x:t>
        </x:is>
      </x:c>
      <x:c r="D1298" s="1" t="inlineStr">
        <x:is>
          <x:t xml:space="preserve">INCONCLUSIVE</x:t>
        </x:is>
      </x:c>
      <x:c r="E1298" s="5">
        <x:v>0.2905</x:v>
      </x:c>
      <x:c r="F1298" s="4">
        <x:v>0</x:v>
      </x:c>
      <x:c r="G1298" s="4"/>
      <x:c r="H1298" s="6"/>
      <x:c r="I1298" s="16">
        <x:v>1</x:v>
      </x:c>
      <x:c r="J1298">
        <x:v>179</x:v>
      </x:c>
      <x:c r="K1298" s="4">
        <x:v>52</x:v>
      </x:c>
      <x:c r="L1298" s="4">
        <x:v>44</x:v>
      </x:c>
      <x:c r="M1298" s="4">
        <x:v>0</x:v>
      </x:c>
      <x:c r="N1298" s="5">
        <x:v>0.0</x:v>
      </x:c>
    </x:row>
    <x:row r="1299" ht="24" customHeight="1">
      <x:c r="A1299" s="1" t="inlineStr">
        <x:is>
          <x:t xml:space="preserve">RESULT</x:t>
        </x:is>
      </x:c>
      <x:c r="B1299" s="1" t="inlineStr">
        <x:is>
          <x:t xml:space="preserve">Round2</x:t>
        </x:is>
      </x:c>
      <x:c r="C1299" s="1" t="inlineStr">
        <x:is>
          <x:t xml:space="preserve">JacksonDatabind_48</x:t>
        </x:is>
      </x:c>
      <x:c r="D1299" s="1" t="inlineStr">
        <x:is>
          <x:t xml:space="preserve">NOT_AVAILABLE</x:t>
        </x:is>
      </x:c>
      <x:c r="E1299" s="5"/>
      <x:c r="F1299" s="4">
        <x:v>0</x:v>
      </x:c>
      <x:c r="G1299" s="4">
        <x:v>110596</x:v>
      </x:c>
      <x:c r="H1299" s="6">
        <x:v>441.08</x:v>
      </x:c>
      <x:c r="I1299" s="16">
        <x:v>1</x:v>
      </x:c>
      <x:c r="J1299"/>
      <x:c r="K1299" s="4"/>
      <x:c r="L1299" s="4"/>
      <x:c r="M1299" s="4"/>
      <x:c r="N1299" s="5"/>
    </x:row>
    <x:row r="1300" ht="24" customHeight="1">
      <x:c r="A1300" s="1" t="inlineStr">
        <x:is>
          <x:t xml:space="preserve">RESULT</x:t>
        </x:is>
      </x:c>
      <x:c r="B1300" s="1" t="inlineStr">
        <x:is>
          <x:t xml:space="preserve">Round2</x:t>
        </x:is>
      </x:c>
      <x:c r="C1300" s="1" t="inlineStr">
        <x:is>
          <x:t xml:space="preserve">JacksonDatabind_49</x:t>
        </x:is>
      </x:c>
      <x:c r="D1300" s="1" t="inlineStr">
        <x:is>
          <x:t xml:space="preserve">NOT_AVAILABLE</x:t>
        </x:is>
      </x:c>
      <x:c r="E1300" s="5"/>
      <x:c r="F1300" s="4">
        <x:v>0</x:v>
      </x:c>
      <x:c r="G1300" s="4">
        <x:v>47120</x:v>
      </x:c>
      <x:c r="H1300" s="6">
        <x:v>224.87</x:v>
      </x:c>
      <x:c r="I1300" s="16">
        <x:v>1</x:v>
      </x:c>
      <x:c r="J1300"/>
      <x:c r="K1300" s="4"/>
      <x:c r="L1300" s="4"/>
      <x:c r="M1300" s="4"/>
      <x:c r="N1300" s="5"/>
    </x:row>
    <x:row r="1301" ht="24" customHeight="1">
      <x:c r="A1301" s="1" t="inlineStr">
        <x:is>
          <x:t xml:space="preserve">RESULT</x:t>
        </x:is>
      </x:c>
      <x:c r="B1301" s="1" t="inlineStr">
        <x:is>
          <x:t xml:space="preserve">Round2</x:t>
        </x:is>
      </x:c>
      <x:c r="C1301" s="1" t="inlineStr">
        <x:is>
          <x:t xml:space="preserve">JacksonDatabind_5</x:t>
        </x:is>
      </x:c>
      <x:c r="D1301" s="1" t="inlineStr">
        <x:is>
          <x:t xml:space="preserve">INCONCLUSIVE</x:t>
        </x:is>
      </x:c>
      <x:c r="E1301" s="5">
        <x:v>0.5233</x:v>
      </x:c>
      <x:c r="F1301" s="4">
        <x:v>0</x:v>
      </x:c>
      <x:c r="G1301" s="4"/>
      <x:c r="H1301" s="6"/>
      <x:c r="I1301" s="16">
        <x:v>1</x:v>
      </x:c>
      <x:c r="J1301">
        <x:v>365</x:v>
      </x:c>
      <x:c r="K1301" s="4">
        <x:v>191</x:v>
      </x:c>
      <x:c r="L1301" s="4">
        <x:v>272</x:v>
      </x:c>
      <x:c r="M1301" s="4">
        <x:v>106</x:v>
      </x:c>
      <x:c r="N1301" s="5">
        <x:v>0.3897</x:v>
      </x:c>
    </x:row>
    <x:row r="1302" ht="24" customHeight="1">
      <x:c r="A1302" s="1" t="inlineStr">
        <x:is>
          <x:t xml:space="preserve">RESULT</x:t>
        </x:is>
      </x:c>
      <x:c r="B1302" s="1" t="inlineStr">
        <x:is>
          <x:t xml:space="preserve">Round2</x:t>
        </x:is>
      </x:c>
      <x:c r="C1302" s="1" t="inlineStr">
        <x:is>
          <x:t xml:space="preserve">JacksonDatabind_50</x:t>
        </x:is>
      </x:c>
      <x:c r="D1302" s="1" t="inlineStr">
        <x:is>
          <x:t xml:space="preserve">NOT_AVAILABLE</x:t>
        </x:is>
      </x:c>
      <x:c r="E1302" s="5"/>
      <x:c r="F1302" s="4">
        <x:v>0</x:v>
      </x:c>
      <x:c r="G1302" s="4">
        <x:v>30038</x:v>
      </x:c>
      <x:c r="H1302" s="6">
        <x:v>992.2</x:v>
      </x:c>
      <x:c r="I1302" s="16">
        <x:v>1</x:v>
      </x:c>
      <x:c r="J1302"/>
      <x:c r="K1302" s="4"/>
      <x:c r="L1302" s="4"/>
      <x:c r="M1302" s="4"/>
      <x:c r="N1302" s="5"/>
    </x:row>
    <x:row r="1303" ht="24" customHeight="1">
      <x:c r="A1303" s="1" t="inlineStr">
        <x:is>
          <x:t xml:space="preserve">RESULT</x:t>
        </x:is>
      </x:c>
      <x:c r="B1303" s="1" t="inlineStr">
        <x:is>
          <x:t xml:space="preserve">Round2</x:t>
        </x:is>
      </x:c>
      <x:c r="C1303" s="1" t="inlineStr">
        <x:is>
          <x:t xml:space="preserve">JacksonDatabind_51</x:t>
        </x:is>
      </x:c>
      <x:c r="D1303" s="1" t="inlineStr">
        <x:is>
          <x:t xml:space="preserve">NOT_AVAILABLE</x:t>
        </x:is>
      </x:c>
      <x:c r="E1303" s="5"/>
      <x:c r="F1303" s="4">
        <x:v>0</x:v>
      </x:c>
      <x:c r="G1303" s="4">
        <x:v>45875</x:v>
      </x:c>
      <x:c r="H1303" s="6">
        <x:v>197.95</x:v>
      </x:c>
      <x:c r="I1303" s="16">
        <x:v>1</x:v>
      </x:c>
      <x:c r="J1303"/>
      <x:c r="K1303" s="4"/>
      <x:c r="L1303" s="4"/>
      <x:c r="M1303" s="4"/>
      <x:c r="N1303" s="5"/>
    </x:row>
    <x:row r="1304" ht="24" customHeight="1">
      <x:c r="A1304" s="1" t="inlineStr">
        <x:is>
          <x:t xml:space="preserve">RESULT</x:t>
        </x:is>
      </x:c>
      <x:c r="B1304" s="1" t="inlineStr">
        <x:is>
          <x:t xml:space="preserve">Round2</x:t>
        </x:is>
      </x:c>
      <x:c r="C1304" s="1" t="inlineStr">
        <x:is>
          <x:t xml:space="preserve">JacksonDatabind_52</x:t>
        </x:is>
      </x:c>
      <x:c r="D1304" s="1" t="inlineStr">
        <x:is>
          <x:t xml:space="preserve">NOT_AVAILABLE</x:t>
        </x:is>
      </x:c>
      <x:c r="E1304" s="5"/>
      <x:c r="F1304" s="4">
        <x:v>0</x:v>
      </x:c>
      <x:c r="G1304" s="4">
        <x:v>65013</x:v>
      </x:c>
      <x:c r="H1304" s="6">
        <x:v>271.13</x:v>
      </x:c>
      <x:c r="I1304" s="16">
        <x:v>1</x:v>
      </x:c>
      <x:c r="J1304"/>
      <x:c r="K1304" s="4"/>
      <x:c r="L1304" s="4"/>
      <x:c r="M1304" s="4"/>
      <x:c r="N1304" s="5"/>
    </x:row>
    <x:row r="1305" ht="24" customHeight="1">
      <x:c r="A1305" s="1" t="inlineStr">
        <x:is>
          <x:t xml:space="preserve">RESULT</x:t>
        </x:is>
      </x:c>
      <x:c r="B1305" s="1" t="inlineStr">
        <x:is>
          <x:t xml:space="preserve">Round2</x:t>
        </x:is>
      </x:c>
      <x:c r="C1305" s="1" t="inlineStr">
        <x:is>
          <x:t xml:space="preserve">JacksonDatabind_53</x:t>
        </x:is>
      </x:c>
      <x:c r="D1305" s="1" t="inlineStr">
        <x:is>
          <x:t xml:space="preserve">INCONCLUSIVE</x:t>
        </x:is>
      </x:c>
      <x:c r="E1305" s="5">
        <x:v>0.7931999999999999</x:v>
      </x:c>
      <x:c r="F1305" s="4">
        <x:v>0</x:v>
      </x:c>
      <x:c r="G1305" s="4"/>
      <x:c r="H1305" s="6"/>
      <x:c r="I1305" s="16">
        <x:v>1</x:v>
      </x:c>
      <x:c r="J1305">
        <x:v>503</x:v>
      </x:c>
      <x:c r="K1305" s="4">
        <x:v>399</x:v>
      </x:c>
      <x:c r="L1305" s="4">
        <x:v>346</x:v>
      </x:c>
      <x:c r="M1305" s="4">
        <x:v>240</x:v>
      </x:c>
      <x:c r="N1305" s="5">
        <x:v>0.6936</x:v>
      </x:c>
    </x:row>
    <x:row r="1306" ht="24" customHeight="1">
      <x:c r="A1306" s="1" t="inlineStr">
        <x:is>
          <x:t xml:space="preserve">RESULT</x:t>
        </x:is>
      </x:c>
      <x:c r="B1306" s="1" t="inlineStr">
        <x:is>
          <x:t xml:space="preserve">Round2</x:t>
        </x:is>
      </x:c>
      <x:c r="C1306" s="1" t="inlineStr">
        <x:is>
          <x:t xml:space="preserve">JacksonDatabind_54</x:t>
        </x:is>
      </x:c>
      <x:c r="D1306" s="1" t="inlineStr">
        <x:is>
          <x:t xml:space="preserve">NOT_AVAILABLE</x:t>
        </x:is>
      </x:c>
      <x:c r="E1306" s="5"/>
      <x:c r="F1306" s="4">
        <x:v>0</x:v>
      </x:c>
      <x:c r="G1306" s="4">
        <x:v>34669</x:v>
      </x:c>
      <x:c r="H1306" s="6">
        <x:v>142.57</x:v>
      </x:c>
      <x:c r="I1306" s="16">
        <x:v>1</x:v>
      </x:c>
      <x:c r="J1306"/>
      <x:c r="K1306" s="4"/>
      <x:c r="L1306" s="4"/>
      <x:c r="M1306" s="4"/>
      <x:c r="N1306" s="5"/>
    </x:row>
    <x:row r="1307" ht="24" customHeight="1">
      <x:c r="A1307" s="1" t="inlineStr">
        <x:is>
          <x:t xml:space="preserve">RESULT</x:t>
        </x:is>
      </x:c>
      <x:c r="B1307" s="1" t="inlineStr">
        <x:is>
          <x:t xml:space="preserve">Round2</x:t>
        </x:is>
      </x:c>
      <x:c r="C1307" s="1" t="inlineStr">
        <x:is>
          <x:t xml:space="preserve">JacksonDatabind_55</x:t>
        </x:is>
      </x:c>
      <x:c r="D1307" s="1" t="inlineStr">
        <x:is>
          <x:t xml:space="preserve">INCONCLUSIVE</x:t>
        </x:is>
      </x:c>
      <x:c r="E1307" s="5">
        <x:v>0.7868999999999999</x:v>
      </x:c>
      <x:c r="F1307" s="4">
        <x:v>0</x:v>
      </x:c>
      <x:c r="G1307" s="4"/>
      <x:c r="H1307" s="6"/>
      <x:c r="I1307" s="16">
        <x:v>1</x:v>
      </x:c>
      <x:c r="J1307">
        <x:v>61</x:v>
      </x:c>
      <x:c r="K1307" s="4">
        <x:v>48</x:v>
      </x:c>
      <x:c r="L1307" s="4">
        <x:v>37</x:v>
      </x:c>
      <x:c r="M1307" s="4">
        <x:v>32</x:v>
      </x:c>
      <x:c r="N1307" s="5">
        <x:v>0.8649</x:v>
      </x:c>
    </x:row>
    <x:row r="1308" ht="24" customHeight="1">
      <x:c r="A1308" s="1" t="inlineStr">
        <x:is>
          <x:t xml:space="preserve">RESULT</x:t>
        </x:is>
      </x:c>
      <x:c r="B1308" s="1" t="inlineStr">
        <x:is>
          <x:t xml:space="preserve">Round2</x:t>
        </x:is>
      </x:c>
      <x:c r="C1308" s="1" t="inlineStr">
        <x:is>
          <x:t xml:space="preserve">JacksonDatabind_56</x:t>
        </x:is>
      </x:c>
      <x:c r="D1308" s="1" t="inlineStr">
        <x:is>
          <x:t xml:space="preserve">INCONCLUSIVE</x:t>
        </x:is>
      </x:c>
      <x:c r="E1308" s="5">
        <x:v>0.9464</x:v>
      </x:c>
      <x:c r="F1308" s="4">
        <x:v>0</x:v>
      </x:c>
      <x:c r="G1308" s="4">
        <x:v>33216</x:v>
      </x:c>
      <x:c r="H1308" s="6">
        <x:v>143.14</x:v>
      </x:c>
      <x:c r="I1308" s="16">
        <x:v>1</x:v>
      </x:c>
      <x:c r="J1308">
        <x:v>112</x:v>
      </x:c>
      <x:c r="K1308" s="4">
        <x:v>106</x:v>
      </x:c>
      <x:c r="L1308" s="4">
        <x:v>81</x:v>
      </x:c>
      <x:c r="M1308" s="4">
        <x:v>74</x:v>
      </x:c>
      <x:c r="N1308" s="5">
        <x:v>0.9136</x:v>
      </x:c>
    </x:row>
    <x:row r="1309" ht="24" customHeight="1">
      <x:c r="A1309" s="1" t="inlineStr">
        <x:is>
          <x:t xml:space="preserve">RESULT</x:t>
        </x:is>
      </x:c>
      <x:c r="B1309" s="1" t="inlineStr">
        <x:is>
          <x:t xml:space="preserve">Round2</x:t>
        </x:is>
      </x:c>
      <x:c r="C1309" s="1" t="inlineStr">
        <x:is>
          <x:t xml:space="preserve">JacksonDatabind_57</x:t>
        </x:is>
      </x:c>
      <x:c r="D1309" s="1" t="inlineStr">
        <x:is>
          <x:t xml:space="preserve">INCONCLUSIVE</x:t>
        </x:is>
      </x:c>
      <x:c r="E1309" s="5">
        <x:v>0.5528</x:v>
      </x:c>
      <x:c r="F1309" s="4">
        <x:v>0</x:v>
      </x:c>
      <x:c r="G1309" s="4"/>
      <x:c r="H1309" s="6"/>
      <x:c r="I1309" s="16">
        <x:v>1</x:v>
      </x:c>
      <x:c r="J1309">
        <x:v>407</x:v>
      </x:c>
      <x:c r="K1309" s="4">
        <x:v>225</x:v>
      </x:c>
      <x:c r="L1309" s="4">
        <x:v>156</x:v>
      </x:c>
      <x:c r="M1309" s="4">
        <x:v>66</x:v>
      </x:c>
      <x:c r="N1309" s="5">
        <x:v>0.42310000000000003</x:v>
      </x:c>
    </x:row>
    <x:row r="1310" ht="24" customHeight="1">
      <x:c r="A1310" s="1" t="inlineStr">
        <x:is>
          <x:t xml:space="preserve">RESULT</x:t>
        </x:is>
      </x:c>
      <x:c r="B1310" s="1" t="inlineStr">
        <x:is>
          <x:t xml:space="preserve">Round2</x:t>
        </x:is>
      </x:c>
      <x:c r="C1310" s="1" t="inlineStr">
        <x:is>
          <x:t xml:space="preserve">JacksonDatabind_58</x:t>
        </x:is>
      </x:c>
      <x:c r="D1310" s="1" t="inlineStr">
        <x:is>
          <x:t xml:space="preserve">NOT_AVAILABLE</x:t>
        </x:is>
      </x:c>
      <x:c r="E1310" s="5"/>
      <x:c r="F1310" s="4">
        <x:v>0</x:v>
      </x:c>
      <x:c r="G1310" s="4">
        <x:v>29947</x:v>
      </x:c>
      <x:c r="H1310" s="6">
        <x:v>996.03</x:v>
      </x:c>
      <x:c r="I1310" s="16">
        <x:v>1</x:v>
      </x:c>
      <x:c r="J1310"/>
      <x:c r="K1310" s="4"/>
      <x:c r="L1310" s="4"/>
      <x:c r="M1310" s="4"/>
      <x:c r="N1310" s="5"/>
    </x:row>
    <x:row r="1311" ht="24" customHeight="1">
      <x:c r="A1311" s="1" t="inlineStr">
        <x:is>
          <x:t xml:space="preserve">RESULT</x:t>
        </x:is>
      </x:c>
      <x:c r="B1311" s="1" t="inlineStr">
        <x:is>
          <x:t xml:space="preserve">Round2</x:t>
        </x:is>
      </x:c>
      <x:c r="C1311" s="1" t="inlineStr">
        <x:is>
          <x:t xml:space="preserve">JacksonDatabind_59</x:t>
        </x:is>
      </x:c>
      <x:c r="D1311" s="1" t="inlineStr">
        <x:is>
          <x:t xml:space="preserve">NOT_AVAILABLE</x:t>
        </x:is>
      </x:c>
      <x:c r="E1311" s="5"/>
      <x:c r="F1311" s="4">
        <x:v>0</x:v>
      </x:c>
      <x:c r="G1311" s="4">
        <x:v>107103</x:v>
      </x:c>
      <x:c r="H1311" s="6">
        <x:v>3618.75</x:v>
      </x:c>
      <x:c r="I1311" s="16">
        <x:v>1</x:v>
      </x:c>
      <x:c r="J1311"/>
      <x:c r="K1311" s="4"/>
      <x:c r="L1311" s="4"/>
      <x:c r="M1311" s="4"/>
      <x:c r="N1311" s="5"/>
    </x:row>
    <x:row r="1312" ht="24" customHeight="1">
      <x:c r="A1312" s="1" t="inlineStr">
        <x:is>
          <x:t xml:space="preserve">RESULT</x:t>
        </x:is>
      </x:c>
      <x:c r="B1312" s="1" t="inlineStr">
        <x:is>
          <x:t xml:space="preserve">Round2</x:t>
        </x:is>
      </x:c>
      <x:c r="C1312" s="1" t="inlineStr">
        <x:is>
          <x:t xml:space="preserve">JacksonDatabind_6</x:t>
        </x:is>
      </x:c>
      <x:c r="D1312" s="1" t="inlineStr">
        <x:is>
          <x:t xml:space="preserve">NOT_REVEALING</x:t>
        </x:is>
      </x:c>
      <x:c r="E1312" s="5">
        <x:v>0.8926000000000001</x:v>
      </x:c>
      <x:c r="F1312" s="4">
        <x:v>0</x:v>
      </x:c>
      <x:c r="G1312" s="4"/>
      <x:c r="H1312" s="6"/>
      <x:c r="I1312" s="16">
        <x:v>1</x:v>
      </x:c>
      <x:c r="J1312">
        <x:v>149</x:v>
      </x:c>
      <x:c r="K1312" s="4">
        <x:v>133</x:v>
      </x:c>
      <x:c r="L1312" s="4">
        <x:v>94</x:v>
      </x:c>
      <x:c r="M1312" s="4">
        <x:v>71</x:v>
      </x:c>
      <x:c r="N1312" s="5">
        <x:v>0.7553</x:v>
      </x:c>
    </x:row>
    <x:row r="1313" ht="24" customHeight="1">
      <x:c r="A1313" s="1" t="inlineStr">
        <x:is>
          <x:t xml:space="preserve">RESULT</x:t>
        </x:is>
      </x:c>
      <x:c r="B1313" s="1" t="inlineStr">
        <x:is>
          <x:t xml:space="preserve">Round2</x:t>
        </x:is>
      </x:c>
      <x:c r="C1313" s="1" t="inlineStr">
        <x:is>
          <x:t xml:space="preserve">JacksonDatabind_60</x:t>
        </x:is>
      </x:c>
      <x:c r="D1313" s="1" t="inlineStr">
        <x:is>
          <x:t xml:space="preserve">NOT_AVAILABLE</x:t>
        </x:is>
      </x:c>
      <x:c r="E1313" s="5"/>
      <x:c r="F1313" s="4">
        <x:v>0</x:v>
      </x:c>
      <x:c r="G1313" s="4">
        <x:v>40944</x:v>
      </x:c>
      <x:c r="H1313" s="6">
        <x:v>174.85</x:v>
      </x:c>
      <x:c r="I1313" s="16">
        <x:v>1</x:v>
      </x:c>
      <x:c r="J1313"/>
      <x:c r="K1313" s="4"/>
      <x:c r="L1313" s="4"/>
      <x:c r="M1313" s="4"/>
      <x:c r="N1313" s="5"/>
    </x:row>
    <x:row r="1314" ht="24" customHeight="1">
      <x:c r="A1314" s="1" t="inlineStr">
        <x:is>
          <x:t xml:space="preserve">RESULT</x:t>
        </x:is>
      </x:c>
      <x:c r="B1314" s="1" t="inlineStr">
        <x:is>
          <x:t xml:space="preserve">Round2</x:t>
        </x:is>
      </x:c>
      <x:c r="C1314" s="1" t="inlineStr">
        <x:is>
          <x:t xml:space="preserve">JacksonDatabind_61</x:t>
        </x:is>
      </x:c>
      <x:c r="D1314" s="1" t="inlineStr">
        <x:is>
          <x:t xml:space="preserve">NOT_AVAILABLE</x:t>
        </x:is>
      </x:c>
      <x:c r="E1314" s="5"/>
      <x:c r="F1314" s="4">
        <x:v>0</x:v>
      </x:c>
      <x:c r="G1314" s="4">
        <x:v>68347</x:v>
      </x:c>
      <x:c r="H1314" s="6">
        <x:v>230.19</x:v>
      </x:c>
      <x:c r="I1314" s="16">
        <x:v>1</x:v>
      </x:c>
      <x:c r="J1314"/>
      <x:c r="K1314" s="4"/>
      <x:c r="L1314" s="4"/>
      <x:c r="M1314" s="4"/>
      <x:c r="N1314" s="5"/>
    </x:row>
    <x:row r="1315" ht="24" customHeight="1">
      <x:c r="A1315" s="1" t="inlineStr">
        <x:is>
          <x:t xml:space="preserve">RESULT</x:t>
        </x:is>
      </x:c>
      <x:c r="B1315" s="1" t="inlineStr">
        <x:is>
          <x:t xml:space="preserve">Round2</x:t>
        </x:is>
      </x:c>
      <x:c r="C1315" s="1" t="inlineStr">
        <x:is>
          <x:t xml:space="preserve">JacksonDatabind_62</x:t>
        </x:is>
      </x:c>
      <x:c r="D1315" s="1" t="inlineStr">
        <x:is>
          <x:t xml:space="preserve">NOT_AVAILABLE</x:t>
        </x:is>
      </x:c>
      <x:c r="E1315" s="5"/>
      <x:c r="F1315" s="4">
        <x:v>0</x:v>
      </x:c>
      <x:c r="G1315" s="4">
        <x:v>18202</x:v>
      </x:c>
      <x:c r="H1315" s="6">
        <x:v>113.8</x:v>
      </x:c>
      <x:c r="I1315" s="16">
        <x:v>1</x:v>
      </x:c>
      <x:c r="J1315"/>
      <x:c r="K1315" s="4"/>
      <x:c r="L1315" s="4"/>
      <x:c r="M1315" s="4"/>
      <x:c r="N1315" s="5"/>
    </x:row>
    <x:row r="1316" ht="24" customHeight="1">
      <x:c r="A1316" s="1" t="inlineStr">
        <x:is>
          <x:t xml:space="preserve">RESULT</x:t>
        </x:is>
      </x:c>
      <x:c r="B1316" s="1" t="inlineStr">
        <x:is>
          <x:t xml:space="preserve">Round2</x:t>
        </x:is>
      </x:c>
      <x:c r="C1316" s="1" t="inlineStr">
        <x:is>
          <x:t xml:space="preserve">JacksonDatabind_63</x:t>
        </x:is>
      </x:c>
      <x:c r="D1316" s="1" t="inlineStr">
        <x:is>
          <x:t xml:space="preserve">INCONCLUSIVE</x:t>
        </x:is>
      </x:c>
      <x:c r="E1316" s="5">
        <x:v>0.8210999999999999</x:v>
      </x:c>
      <x:c r="F1316" s="4">
        <x:v>0</x:v>
      </x:c>
      <x:c r="G1316" s="4"/>
      <x:c r="H1316" s="6"/>
      <x:c r="I1316" s="16">
        <x:v>1</x:v>
      </x:c>
      <x:c r="J1316">
        <x:v>123</x:v>
      </x:c>
      <x:c r="K1316" s="4">
        <x:v>101</x:v>
      </x:c>
      <x:c r="L1316" s="4">
        <x:v>44</x:v>
      </x:c>
      <x:c r="M1316" s="4">
        <x:v>35</x:v>
      </x:c>
      <x:c r="N1316" s="5">
        <x:v>0.7955</x:v>
      </x:c>
    </x:row>
    <x:row r="1317" ht="24" customHeight="1">
      <x:c r="A1317" s="1" t="inlineStr">
        <x:is>
          <x:t xml:space="preserve">RESULT</x:t>
        </x:is>
      </x:c>
      <x:c r="B1317" s="1" t="inlineStr">
        <x:is>
          <x:t xml:space="preserve">Round2</x:t>
        </x:is>
      </x:c>
      <x:c r="C1317" s="1" t="inlineStr">
        <x:is>
          <x:t xml:space="preserve">JacksonDatabind_64</x:t>
        </x:is>
      </x:c>
      <x:c r="D1317" s="1" t="inlineStr">
        <x:is>
          <x:t xml:space="preserve">NOT_AVAILABLE</x:t>
        </x:is>
      </x:c>
      <x:c r="E1317" s="5"/>
      <x:c r="F1317" s="4">
        <x:v>0</x:v>
      </x:c>
      <x:c r="G1317" s="4">
        <x:v>26067</x:v>
      </x:c>
      <x:c r="H1317" s="6">
        <x:v>919.18</x:v>
      </x:c>
      <x:c r="I1317" s="16">
        <x:v>1</x:v>
      </x:c>
      <x:c r="J1317"/>
      <x:c r="K1317" s="4"/>
      <x:c r="L1317" s="4"/>
      <x:c r="M1317" s="4"/>
      <x:c r="N1317" s="5"/>
    </x:row>
    <x:row r="1318" ht="24" customHeight="1">
      <x:c r="A1318" s="1" t="inlineStr">
        <x:is>
          <x:t xml:space="preserve">RESULT</x:t>
        </x:is>
      </x:c>
      <x:c r="B1318" s="1" t="inlineStr">
        <x:is>
          <x:t xml:space="preserve">Round2</x:t>
        </x:is>
      </x:c>
      <x:c r="C1318" s="1" t="inlineStr">
        <x:is>
          <x:t xml:space="preserve">JacksonDatabind_66</x:t>
        </x:is>
      </x:c>
      <x:c r="D1318" s="1" t="inlineStr">
        <x:is>
          <x:t xml:space="preserve">NOT_REVEALING</x:t>
        </x:is>
      </x:c>
      <x:c r="E1318" s="5">
        <x:v>0.5321</x:v>
      </x:c>
      <x:c r="F1318" s="4">
        <x:v>0</x:v>
      </x:c>
      <x:c r="G1318" s="4"/>
      <x:c r="H1318" s="6"/>
      <x:c r="I1318" s="16">
        <x:v>1</x:v>
      </x:c>
      <x:c r="J1318">
        <x:v>156</x:v>
      </x:c>
      <x:c r="K1318" s="4">
        <x:v>83</x:v>
      </x:c>
      <x:c r="L1318" s="4">
        <x:v>95</x:v>
      </x:c>
      <x:c r="M1318" s="4">
        <x:v>62</x:v>
      </x:c>
      <x:c r="N1318" s="5">
        <x:v>0.6526000000000001</x:v>
      </x:c>
    </x:row>
    <x:row r="1319" ht="24" customHeight="1">
      <x:c r="A1319" s="1" t="inlineStr">
        <x:is>
          <x:t xml:space="preserve">RESULT</x:t>
        </x:is>
      </x:c>
      <x:c r="B1319" s="1" t="inlineStr">
        <x:is>
          <x:t xml:space="preserve">Round2</x:t>
        </x:is>
      </x:c>
      <x:c r="C1319" s="1" t="inlineStr">
        <x:is>
          <x:t xml:space="preserve">JacksonDatabind_67</x:t>
        </x:is>
      </x:c>
      <x:c r="D1319" s="1" t="inlineStr">
        <x:is>
          <x:t xml:space="preserve">NOT_AVAILABLE</x:t>
        </x:is>
      </x:c>
      <x:c r="E1319" s="5"/>
      <x:c r="F1319" s="4">
        <x:v>0</x:v>
      </x:c>
      <x:c r="G1319" s="4">
        <x:v>50959</x:v>
      </x:c>
      <x:c r="H1319" s="6">
        <x:v>172.8</x:v>
      </x:c>
      <x:c r="I1319" s="16">
        <x:v>1</x:v>
      </x:c>
      <x:c r="J1319"/>
      <x:c r="K1319" s="4"/>
      <x:c r="L1319" s="4"/>
      <x:c r="M1319" s="4"/>
      <x:c r="N1319" s="5"/>
    </x:row>
    <x:row r="1320" ht="24" customHeight="1">
      <x:c r="A1320" s="1" t="inlineStr">
        <x:is>
          <x:t xml:space="preserve">RESULT</x:t>
        </x:is>
      </x:c>
      <x:c r="B1320" s="1" t="inlineStr">
        <x:is>
          <x:t xml:space="preserve">Round2</x:t>
        </x:is>
      </x:c>
      <x:c r="C1320" s="1" t="inlineStr">
        <x:is>
          <x:t xml:space="preserve">JacksonDatabind_68</x:t>
        </x:is>
      </x:c>
      <x:c r="D1320" s="1" t="inlineStr">
        <x:is>
          <x:t xml:space="preserve">INCONCLUSIVE</x:t>
        </x:is>
      </x:c>
      <x:c r="E1320" s="5">
        <x:v>0.0017000000000000001</x:v>
      </x:c>
      <x:c r="F1320" s="4">
        <x:v>0</x:v>
      </x:c>
      <x:c r="G1320" s="4"/>
      <x:c r="H1320" s="6"/>
      <x:c r="I1320" s="16">
        <x:v>1</x:v>
      </x:c>
      <x:c r="J1320">
        <x:v>592</x:v>
      </x:c>
      <x:c r="K1320" s="4">
        <x:v>1</x:v>
      </x:c>
      <x:c r="L1320" s="4">
        <x:v>369</x:v>
      </x:c>
      <x:c r="M1320" s="4">
        <x:v>0</x:v>
      </x:c>
      <x:c r="N1320" s="5">
        <x:v>0.0</x:v>
      </x:c>
    </x:row>
    <x:row r="1321" ht="24" customHeight="1">
      <x:c r="A1321" s="1" t="inlineStr">
        <x:is>
          <x:t xml:space="preserve">RESULT</x:t>
        </x:is>
      </x:c>
      <x:c r="B1321" s="1" t="inlineStr">
        <x:is>
          <x:t xml:space="preserve">Round2</x:t>
        </x:is>
      </x:c>
      <x:c r="C1321" s="1" t="inlineStr">
        <x:is>
          <x:t xml:space="preserve">JacksonDatabind_69</x:t>
        </x:is>
      </x:c>
      <x:c r="D1321" s="1" t="inlineStr">
        <x:is>
          <x:t xml:space="preserve">NOT_AVAILABLE</x:t>
        </x:is>
      </x:c>
      <x:c r="E1321" s="5"/>
      <x:c r="F1321" s="4">
        <x:v>0</x:v>
      </x:c>
      <x:c r="G1321" s="4">
        <x:v>36122</x:v>
      </x:c>
      <x:c r="H1321" s="6">
        <x:v>155.53</x:v>
      </x:c>
      <x:c r="I1321" s="16">
        <x:v>1</x:v>
      </x:c>
      <x:c r="J1321"/>
      <x:c r="K1321" s="4"/>
      <x:c r="L1321" s="4"/>
      <x:c r="M1321" s="4"/>
      <x:c r="N1321" s="5"/>
    </x:row>
    <x:row r="1322" ht="24" customHeight="1">
      <x:c r="A1322" s="1" t="inlineStr">
        <x:is>
          <x:t xml:space="preserve">RESULT</x:t>
        </x:is>
      </x:c>
      <x:c r="B1322" s="1" t="inlineStr">
        <x:is>
          <x:t xml:space="preserve">Round2</x:t>
        </x:is>
      </x:c>
      <x:c r="C1322" s="1" t="inlineStr">
        <x:is>
          <x:t xml:space="preserve">JacksonDatabind_7</x:t>
        </x:is>
      </x:c>
      <x:c r="D1322" s="1" t="inlineStr">
        <x:is>
          <x:t xml:space="preserve">NOT_AVAILABLE</x:t>
        </x:is>
      </x:c>
      <x:c r="E1322" s="5"/>
      <x:c r="F1322" s="4">
        <x:v>0</x:v>
      </x:c>
      <x:c r="G1322" s="4">
        <x:v>35573</x:v>
      </x:c>
      <x:c r="H1322" s="6">
        <x:v>131.56</x:v>
      </x:c>
      <x:c r="I1322" s="16">
        <x:v>1</x:v>
      </x:c>
      <x:c r="J1322"/>
      <x:c r="K1322" s="4"/>
      <x:c r="L1322" s="4"/>
      <x:c r="M1322" s="4"/>
      <x:c r="N1322" s="5"/>
    </x:row>
    <x:row r="1323" ht="24" customHeight="1">
      <x:c r="A1323" s="1" t="inlineStr">
        <x:is>
          <x:t xml:space="preserve">RESULT</x:t>
        </x:is>
      </x:c>
      <x:c r="B1323" s="1" t="inlineStr">
        <x:is>
          <x:t xml:space="preserve">Round2</x:t>
        </x:is>
      </x:c>
      <x:c r="C1323" s="1" t="inlineStr">
        <x:is>
          <x:t xml:space="preserve">JacksonDatabind_70</x:t>
        </x:is>
      </x:c>
      <x:c r="D1323" s="1" t="inlineStr">
        <x:is>
          <x:t xml:space="preserve">NOT_AVAILABLE</x:t>
        </x:is>
      </x:c>
      <x:c r="E1323" s="5"/>
      <x:c r="F1323" s="4">
        <x:v>0</x:v>
      </x:c>
      <x:c r="G1323" s="4">
        <x:v>26978</x:v>
      </x:c>
      <x:c r="H1323" s="6">
        <x:v>83.7</x:v>
      </x:c>
      <x:c r="I1323" s="16">
        <x:v>1</x:v>
      </x:c>
      <x:c r="J1323"/>
      <x:c r="K1323" s="4"/>
      <x:c r="L1323" s="4"/>
      <x:c r="M1323" s="4"/>
      <x:c r="N1323" s="5"/>
    </x:row>
    <x:row r="1324" ht="24" customHeight="1">
      <x:c r="A1324" s="1" t="inlineStr">
        <x:is>
          <x:t xml:space="preserve">RESULT</x:t>
        </x:is>
      </x:c>
      <x:c r="B1324" s="1" t="inlineStr">
        <x:is>
          <x:t xml:space="preserve">Round2</x:t>
        </x:is>
      </x:c>
      <x:c r="C1324" s="1" t="inlineStr">
        <x:is>
          <x:t xml:space="preserve">JacksonDatabind_71</x:t>
        </x:is>
      </x:c>
      <x:c r="D1324" s="1" t="inlineStr">
        <x:is>
          <x:t xml:space="preserve">INCONCLUSIVE</x:t>
        </x:is>
      </x:c>
      <x:c r="E1324" s="5">
        <x:v>0.8054000000000001</x:v>
      </x:c>
      <x:c r="F1324" s="4">
        <x:v>0</x:v>
      </x:c>
      <x:c r="G1324" s="4"/>
      <x:c r="H1324" s="6"/>
      <x:c r="I1324" s="16">
        <x:v>1</x:v>
      </x:c>
      <x:c r="J1324">
        <x:v>149</x:v>
      </x:c>
      <x:c r="K1324" s="4">
        <x:v>120</x:v>
      </x:c>
      <x:c r="L1324" s="4">
        <x:v>95</x:v>
      </x:c>
      <x:c r="M1324" s="4">
        <x:v>79</x:v>
      </x:c>
      <x:c r="N1324" s="5">
        <x:v>0.8316</x:v>
      </x:c>
    </x:row>
    <x:row r="1325" ht="24" customHeight="1">
      <x:c r="A1325" s="1" t="inlineStr">
        <x:is>
          <x:t xml:space="preserve">RESULT</x:t>
        </x:is>
      </x:c>
      <x:c r="B1325" s="1" t="inlineStr">
        <x:is>
          <x:t xml:space="preserve">Round2</x:t>
        </x:is>
      </x:c>
      <x:c r="C1325" s="1" t="inlineStr">
        <x:is>
          <x:t xml:space="preserve">JacksonDatabind_72</x:t>
        </x:is>
      </x:c>
      <x:c r="D1325" s="1" t="inlineStr">
        <x:is>
          <x:t xml:space="preserve">NOT_AVAILABLE</x:t>
        </x:is>
      </x:c>
      <x:c r="E1325" s="5"/>
      <x:c r="F1325" s="4">
        <x:v>0</x:v>
      </x:c>
      <x:c r="G1325" s="4">
        <x:v>49401</x:v>
      </x:c>
      <x:c r="H1325" s="6">
        <x:v>265.61</x:v>
      </x:c>
      <x:c r="I1325" s="16">
        <x:v>1</x:v>
      </x:c>
      <x:c r="J1325"/>
      <x:c r="K1325" s="4"/>
      <x:c r="L1325" s="4"/>
      <x:c r="M1325" s="4"/>
      <x:c r="N1325" s="5"/>
    </x:row>
    <x:row r="1326" ht="24" customHeight="1">
      <x:c r="A1326" s="1" t="inlineStr">
        <x:is>
          <x:t xml:space="preserve">RESULT</x:t>
        </x:is>
      </x:c>
      <x:c r="B1326" s="1" t="inlineStr">
        <x:is>
          <x:t xml:space="preserve">Round2</x:t>
        </x:is>
      </x:c>
      <x:c r="C1326" s="1" t="inlineStr">
        <x:is>
          <x:t xml:space="preserve">JacksonDatabind_73</x:t>
        </x:is>
      </x:c>
      <x:c r="D1326" s="1" t="inlineStr">
        <x:is>
          <x:t xml:space="preserve">NOT_REVEALING</x:t>
        </x:is>
      </x:c>
      <x:c r="E1326" s="5">
        <x:v>0.6831999999999999</x:v>
      </x:c>
      <x:c r="F1326" s="4">
        <x:v>0</x:v>
      </x:c>
      <x:c r="G1326" s="4"/>
      <x:c r="H1326" s="6"/>
      <x:c r="I1326" s="16">
        <x:v>1</x:v>
      </x:c>
      <x:c r="J1326">
        <x:v>928</x:v>
      </x:c>
      <x:c r="K1326" s="4">
        <x:v>634</x:v>
      </x:c>
      <x:c r="L1326" s="4">
        <x:v>716</x:v>
      </x:c>
      <x:c r="M1326" s="4">
        <x:v>389</x:v>
      </x:c>
      <x:c r="N1326" s="5">
        <x:v>0.5433</x:v>
      </x:c>
    </x:row>
    <x:row r="1327" ht="24" customHeight="1">
      <x:c r="A1327" s="1" t="inlineStr">
        <x:is>
          <x:t xml:space="preserve">RESULT</x:t>
        </x:is>
      </x:c>
      <x:c r="B1327" s="1" t="inlineStr">
        <x:is>
          <x:t xml:space="preserve">Round2</x:t>
        </x:is>
      </x:c>
      <x:c r="C1327" s="1" t="inlineStr">
        <x:is>
          <x:t xml:space="preserve">JacksonDatabind_74</x:t>
        </x:is>
      </x:c>
      <x:c r="D1327" s="1" t="inlineStr">
        <x:is>
          <x:t xml:space="preserve">NOT_AVAILABLE</x:t>
        </x:is>
      </x:c>
      <x:c r="E1327" s="5"/>
      <x:c r="F1327" s="4">
        <x:v>0</x:v>
      </x:c>
      <x:c r="G1327" s="4">
        <x:v>34114</x:v>
      </x:c>
      <x:c r="H1327" s="6">
        <x:v>184.39</x:v>
      </x:c>
      <x:c r="I1327" s="16">
        <x:v>1</x:v>
      </x:c>
      <x:c r="J1327"/>
      <x:c r="K1327" s="4"/>
      <x:c r="L1327" s="4"/>
      <x:c r="M1327" s="4"/>
      <x:c r="N1327" s="5"/>
    </x:row>
    <x:row r="1328" ht="24" customHeight="1">
      <x:c r="A1328" s="1" t="inlineStr">
        <x:is>
          <x:t xml:space="preserve">RESULT</x:t>
        </x:is>
      </x:c>
      <x:c r="B1328" s="1" t="inlineStr">
        <x:is>
          <x:t xml:space="preserve">Round2</x:t>
        </x:is>
      </x:c>
      <x:c r="C1328" s="1" t="inlineStr">
        <x:is>
          <x:t xml:space="preserve">JacksonDatabind_75</x:t>
        </x:is>
      </x:c>
      <x:c r="D1328" s="1" t="inlineStr">
        <x:is>
          <x:t xml:space="preserve">NOT_AVAILABLE</x:t>
        </x:is>
      </x:c>
      <x:c r="E1328" s="5"/>
      <x:c r="F1328" s="4">
        <x:v>0</x:v>
      </x:c>
      <x:c r="G1328" s="4">
        <x:v>39559</x:v>
      </x:c>
      <x:c r="H1328" s="6">
        <x:v>207.96</x:v>
      </x:c>
      <x:c r="I1328" s="16">
        <x:v>1</x:v>
      </x:c>
      <x:c r="J1328"/>
      <x:c r="K1328" s="4"/>
      <x:c r="L1328" s="4"/>
      <x:c r="M1328" s="4"/>
      <x:c r="N1328" s="5"/>
    </x:row>
    <x:row r="1329" ht="24" customHeight="1">
      <x:c r="A1329" s="1" t="inlineStr">
        <x:is>
          <x:t xml:space="preserve">RESULT</x:t>
        </x:is>
      </x:c>
      <x:c r="B1329" s="1" t="inlineStr">
        <x:is>
          <x:t xml:space="preserve">Round2</x:t>
        </x:is>
      </x:c>
      <x:c r="C1329" s="1" t="inlineStr">
        <x:is>
          <x:t xml:space="preserve">JacksonDatabind_76</x:t>
        </x:is>
      </x:c>
      <x:c r="D1329" s="1" t="inlineStr">
        <x:is>
          <x:t xml:space="preserve">NOT_AVAILABLE</x:t>
        </x:is>
      </x:c>
      <x:c r="E1329" s="5"/>
      <x:c r="F1329" s="4">
        <x:v>0</x:v>
      </x:c>
      <x:c r="G1329" s="4">
        <x:v>41626</x:v>
      </x:c>
      <x:c r="H1329" s="6">
        <x:v>208.49</x:v>
      </x:c>
      <x:c r="I1329" s="16">
        <x:v>1</x:v>
      </x:c>
      <x:c r="J1329"/>
      <x:c r="K1329" s="4"/>
      <x:c r="L1329" s="4"/>
      <x:c r="M1329" s="4"/>
      <x:c r="N1329" s="5"/>
    </x:row>
    <x:row r="1330" ht="24" customHeight="1">
      <x:c r="A1330" s="1" t="inlineStr">
        <x:is>
          <x:t xml:space="preserve">RESULT</x:t>
        </x:is>
      </x:c>
      <x:c r="B1330" s="1" t="inlineStr">
        <x:is>
          <x:t xml:space="preserve">Round2</x:t>
        </x:is>
      </x:c>
      <x:c r="C1330" s="1" t="inlineStr">
        <x:is>
          <x:t xml:space="preserve">JacksonDatabind_77</x:t>
        </x:is>
      </x:c>
      <x:c r="D1330" s="1" t="inlineStr">
        <x:is>
          <x:t xml:space="preserve">NOT_AVAILABLE</x:t>
        </x:is>
      </x:c>
      <x:c r="E1330" s="5"/>
      <x:c r="F1330" s="4">
        <x:v>0</x:v>
      </x:c>
      <x:c r="G1330" s="4">
        <x:v>48663</x:v>
      </x:c>
      <x:c r="H1330" s="6">
        <x:v>229.14</x:v>
      </x:c>
      <x:c r="I1330" s="16">
        <x:v>1</x:v>
      </x:c>
      <x:c r="J1330"/>
      <x:c r="K1330" s="4"/>
      <x:c r="L1330" s="4"/>
      <x:c r="M1330" s="4"/>
      <x:c r="N1330" s="5"/>
    </x:row>
    <x:row r="1331" ht="24" customHeight="1">
      <x:c r="A1331" s="1" t="inlineStr">
        <x:is>
          <x:t xml:space="preserve">RESULT</x:t>
        </x:is>
      </x:c>
      <x:c r="B1331" s="1" t="inlineStr">
        <x:is>
          <x:t xml:space="preserve">Round2</x:t>
        </x:is>
      </x:c>
      <x:c r="C1331" s="1" t="inlineStr">
        <x:is>
          <x:t xml:space="preserve">JacksonDatabind_78</x:t>
        </x:is>
      </x:c>
      <x:c r="D1331" s="1" t="inlineStr">
        <x:is>
          <x:t xml:space="preserve">NOT_REVEALING</x:t>
        </x:is>
      </x:c>
      <x:c r="E1331" s="5">
        <x:v>0.7232</x:v>
      </x:c>
      <x:c r="F1331" s="4">
        <x:v>0</x:v>
      </x:c>
      <x:c r="G1331" s="4"/>
      <x:c r="H1331" s="6"/>
      <x:c r="I1331" s="16">
        <x:v>1</x:v>
      </x:c>
      <x:c r="J1331">
        <x:v>336</x:v>
      </x:c>
      <x:c r="K1331" s="4">
        <x:v>243</x:v>
      </x:c>
      <x:c r="L1331" s="4">
        <x:v>210</x:v>
      </x:c>
      <x:c r="M1331" s="4">
        <x:v>118</x:v>
      </x:c>
      <x:c r="N1331" s="5">
        <x:v>0.5619</x:v>
      </x:c>
    </x:row>
    <x:row r="1332" ht="24" customHeight="1">
      <x:c r="A1332" s="1" t="inlineStr">
        <x:is>
          <x:t xml:space="preserve">RESULT</x:t>
        </x:is>
      </x:c>
      <x:c r="B1332" s="1" t="inlineStr">
        <x:is>
          <x:t xml:space="preserve">Round2</x:t>
        </x:is>
      </x:c>
      <x:c r="C1332" s="1" t="inlineStr">
        <x:is>
          <x:t xml:space="preserve">JacksonDatabind_79</x:t>
        </x:is>
      </x:c>
      <x:c r="D1332" s="1" t="inlineStr">
        <x:is>
          <x:t xml:space="preserve">NOT_AVAILABLE</x:t>
        </x:is>
      </x:c>
      <x:c r="E1332" s="5"/>
      <x:c r="F1332" s="4">
        <x:v>0</x:v>
      </x:c>
      <x:c r="G1332" s="4">
        <x:v>80679</x:v>
      </x:c>
      <x:c r="H1332" s="6">
        <x:v>2766.57</x:v>
      </x:c>
      <x:c r="I1332" s="16">
        <x:v>1</x:v>
      </x:c>
      <x:c r="J1332"/>
      <x:c r="K1332" s="4"/>
      <x:c r="L1332" s="4"/>
      <x:c r="M1332" s="4"/>
      <x:c r="N1332" s="5"/>
    </x:row>
    <x:row r="1333" ht="24" customHeight="1">
      <x:c r="A1333" s="1" t="inlineStr">
        <x:is>
          <x:t xml:space="preserve">RESULT</x:t>
        </x:is>
      </x:c>
      <x:c r="B1333" s="1" t="inlineStr">
        <x:is>
          <x:t xml:space="preserve">Round2</x:t>
        </x:is>
      </x:c>
      <x:c r="C1333" s="1" t="inlineStr">
        <x:is>
          <x:t xml:space="preserve">JacksonDatabind_8</x:t>
        </x:is>
      </x:c>
      <x:c r="D1333" s="1" t="inlineStr">
        <x:is>
          <x:t xml:space="preserve">NOT_AVAILABLE</x:t>
        </x:is>
      </x:c>
      <x:c r="E1333" s="5"/>
      <x:c r="F1333" s="4">
        <x:v>0</x:v>
      </x:c>
      <x:c r="G1333" s="4">
        <x:v>33423</x:v>
      </x:c>
      <x:c r="H1333" s="6">
        <x:v>166.67</x:v>
      </x:c>
      <x:c r="I1333" s="16">
        <x:v>1</x:v>
      </x:c>
      <x:c r="J1333"/>
      <x:c r="K1333" s="4"/>
      <x:c r="L1333" s="4"/>
      <x:c r="M1333" s="4"/>
      <x:c r="N1333" s="5"/>
    </x:row>
    <x:row r="1334" ht="24" customHeight="1">
      <x:c r="A1334" s="1" t="inlineStr">
        <x:is>
          <x:t xml:space="preserve">RESULT</x:t>
        </x:is>
      </x:c>
      <x:c r="B1334" s="1" t="inlineStr">
        <x:is>
          <x:t xml:space="preserve">Round2</x:t>
        </x:is>
      </x:c>
      <x:c r="C1334" s="1" t="inlineStr">
        <x:is>
          <x:t xml:space="preserve">JacksonDatabind_80</x:t>
        </x:is>
      </x:c>
      <x:c r="D1334" s="1" t="inlineStr">
        <x:is>
          <x:t xml:space="preserve">NOT_AVAILABLE</x:t>
        </x:is>
      </x:c>
      <x:c r="E1334" s="5"/>
      <x:c r="F1334" s="4">
        <x:v>0</x:v>
      </x:c>
      <x:c r="G1334" s="4">
        <x:v>29422</x:v>
      </x:c>
      <x:c r="H1334" s="6">
        <x:v>1072.34</x:v>
      </x:c>
      <x:c r="I1334" s="16">
        <x:v>1</x:v>
      </x:c>
      <x:c r="J1334"/>
      <x:c r="K1334" s="4"/>
      <x:c r="L1334" s="4"/>
      <x:c r="M1334" s="4"/>
      <x:c r="N1334" s="5"/>
    </x:row>
    <x:row r="1335" ht="24" customHeight="1">
      <x:c r="A1335" s="1" t="inlineStr">
        <x:is>
          <x:t xml:space="preserve">RESULT</x:t>
        </x:is>
      </x:c>
      <x:c r="B1335" s="1" t="inlineStr">
        <x:is>
          <x:t xml:space="preserve">Round2</x:t>
        </x:is>
      </x:c>
      <x:c r="C1335" s="1" t="inlineStr">
        <x:is>
          <x:t xml:space="preserve">JacksonDatabind_81</x:t>
        </x:is>
      </x:c>
      <x:c r="D1335" s="1" t="inlineStr">
        <x:is>
          <x:t xml:space="preserve">NOT_AVAILABLE</x:t>
        </x:is>
      </x:c>
      <x:c r="E1335" s="5"/>
      <x:c r="F1335" s="4">
        <x:v>0</x:v>
      </x:c>
      <x:c r="G1335" s="4">
        <x:v>37455</x:v>
      </x:c>
      <x:c r="H1335" s="6">
        <x:v>1130.98</x:v>
      </x:c>
      <x:c r="I1335" s="16">
        <x:v>1</x:v>
      </x:c>
      <x:c r="J1335"/>
      <x:c r="K1335" s="4"/>
      <x:c r="L1335" s="4"/>
      <x:c r="M1335" s="4"/>
      <x:c r="N1335" s="5"/>
    </x:row>
    <x:row r="1336" ht="24" customHeight="1">
      <x:c r="A1336" s="1" t="inlineStr">
        <x:is>
          <x:t xml:space="preserve">RESULT</x:t>
        </x:is>
      </x:c>
      <x:c r="B1336" s="1" t="inlineStr">
        <x:is>
          <x:t xml:space="preserve">Round2</x:t>
        </x:is>
      </x:c>
      <x:c r="C1336" s="1" t="inlineStr">
        <x:is>
          <x:t xml:space="preserve">JacksonDatabind_82</x:t>
        </x:is>
      </x:c>
      <x:c r="D1336" s="1" t="inlineStr">
        <x:is>
          <x:t xml:space="preserve">INCONCLUSIVE</x:t>
        </x:is>
      </x:c>
      <x:c r="E1336" s="5">
        <x:v>0.6912</x:v>
      </x:c>
      <x:c r="F1336" s="4">
        <x:v>0</x:v>
      </x:c>
      <x:c r="G1336" s="4">
        <x:v>32768</x:v>
      </x:c>
      <x:c r="H1336" s="6">
        <x:v>145.4</x:v>
      </x:c>
      <x:c r="I1336" s="16">
        <x:v>1</x:v>
      </x:c>
      <x:c r="J1336">
        <x:v>353</x:v>
      </x:c>
      <x:c r="K1336" s="4">
        <x:v>244</x:v>
      </x:c>
      <x:c r="L1336" s="4">
        <x:v>212</x:v>
      </x:c>
      <x:c r="M1336" s="4">
        <x:v>105</x:v>
      </x:c>
      <x:c r="N1336" s="5">
        <x:v>0.4953</x:v>
      </x:c>
    </x:row>
    <x:row r="1337" ht="24" customHeight="1">
      <x:c r="A1337" s="1" t="inlineStr">
        <x:is>
          <x:t xml:space="preserve">RESULT</x:t>
        </x:is>
      </x:c>
      <x:c r="B1337" s="1" t="inlineStr">
        <x:is>
          <x:t xml:space="preserve">Round2</x:t>
        </x:is>
      </x:c>
      <x:c r="C1337" s="1" t="inlineStr">
        <x:is>
          <x:t xml:space="preserve">JacksonDatabind_83</x:t>
        </x:is>
      </x:c>
      <x:c r="D1337" s="1" t="inlineStr">
        <x:is>
          <x:t xml:space="preserve">INCONCLUSIVE</x:t>
        </x:is>
      </x:c>
      <x:c r="E1337" s="5">
        <x:v>0.8197</x:v>
      </x:c>
      <x:c r="F1337" s="4">
        <x:v>0</x:v>
      </x:c>
      <x:c r="G1337" s="4"/>
      <x:c r="H1337" s="6"/>
      <x:c r="I1337" s="16">
        <x:v>1</x:v>
      </x:c>
      <x:c r="J1337">
        <x:v>122</x:v>
      </x:c>
      <x:c r="K1337" s="4">
        <x:v>100</x:v>
      </x:c>
      <x:c r="L1337" s="4">
        <x:v>88</x:v>
      </x:c>
      <x:c r="M1337" s="4">
        <x:v>69</x:v>
      </x:c>
      <x:c r="N1337" s="5">
        <x:v>0.7841</x:v>
      </x:c>
    </x:row>
    <x:row r="1338" ht="24" customHeight="1">
      <x:c r="A1338" s="1" t="inlineStr">
        <x:is>
          <x:t xml:space="preserve">RESULT</x:t>
        </x:is>
      </x:c>
      <x:c r="B1338" s="1" t="inlineStr">
        <x:is>
          <x:t xml:space="preserve">Round2</x:t>
        </x:is>
      </x:c>
      <x:c r="C1338" s="1" t="inlineStr">
        <x:is>
          <x:t xml:space="preserve">JacksonDatabind_84</x:t>
        </x:is>
      </x:c>
      <x:c r="D1338" s="1" t="inlineStr">
        <x:is>
          <x:t xml:space="preserve">INCONCLUSIVE</x:t>
        </x:is>
      </x:c>
      <x:c r="E1338" s="5">
        <x:v>0.9667</x:v>
      </x:c>
      <x:c r="F1338" s="4">
        <x:v>0</x:v>
      </x:c>
      <x:c r="G1338" s="4"/>
      <x:c r="H1338" s="6"/>
      <x:c r="I1338" s="16">
        <x:v>1</x:v>
      </x:c>
      <x:c r="J1338">
        <x:v>30</x:v>
      </x:c>
      <x:c r="K1338" s="4">
        <x:v>29</x:v>
      </x:c>
      <x:c r="L1338" s="4">
        <x:v>14</x:v>
      </x:c>
      <x:c r="M1338" s="4">
        <x:v>14</x:v>
      </x:c>
      <x:c r="N1338" s="5">
        <x:v>1.0</x:v>
      </x:c>
    </x:row>
    <x:row r="1339" ht="24" customHeight="1">
      <x:c r="A1339" s="1" t="inlineStr">
        <x:is>
          <x:t xml:space="preserve">RESULT</x:t>
        </x:is>
      </x:c>
      <x:c r="B1339" s="1" t="inlineStr">
        <x:is>
          <x:t xml:space="preserve">Round2</x:t>
        </x:is>
      </x:c>
      <x:c r="C1339" s="1" t="inlineStr">
        <x:is>
          <x:t xml:space="preserve">JacksonDatabind_85</x:t>
        </x:is>
      </x:c>
      <x:c r="D1339" s="1" t="inlineStr">
        <x:is>
          <x:t xml:space="preserve">NOT_AVAILABLE</x:t>
        </x:is>
      </x:c>
      <x:c r="E1339" s="5"/>
      <x:c r="F1339" s="4">
        <x:v>0</x:v>
      </x:c>
      <x:c r="G1339" s="4">
        <x:v>31660</x:v>
      </x:c>
      <x:c r="H1339" s="6">
        <x:v>1202.9</x:v>
      </x:c>
      <x:c r="I1339" s="16">
        <x:v>1</x:v>
      </x:c>
      <x:c r="J1339"/>
      <x:c r="K1339" s="4"/>
      <x:c r="L1339" s="4"/>
      <x:c r="M1339" s="4"/>
      <x:c r="N1339" s="5"/>
    </x:row>
    <x:row r="1340" ht="24" customHeight="1">
      <x:c r="A1340" s="1" t="inlineStr">
        <x:is>
          <x:t xml:space="preserve">RESULT</x:t>
        </x:is>
      </x:c>
      <x:c r="B1340" s="1" t="inlineStr">
        <x:is>
          <x:t xml:space="preserve">Round2</x:t>
        </x:is>
      </x:c>
      <x:c r="C1340" s="1" t="inlineStr">
        <x:is>
          <x:t xml:space="preserve">JacksonDatabind_86</x:t>
        </x:is>
      </x:c>
      <x:c r="D1340" s="1" t="inlineStr">
        <x:is>
          <x:t xml:space="preserve">NOT_REVEALING</x:t>
        </x:is>
      </x:c>
      <x:c r="E1340" s="5">
        <x:v>0.9667</x:v>
      </x:c>
      <x:c r="F1340" s="4">
        <x:v>0</x:v>
      </x:c>
      <x:c r="G1340" s="4"/>
      <x:c r="H1340" s="6"/>
      <x:c r="I1340" s="16">
        <x:v>1</x:v>
      </x:c>
      <x:c r="J1340">
        <x:v>30</x:v>
      </x:c>
      <x:c r="K1340" s="4">
        <x:v>29</x:v>
      </x:c>
      <x:c r="L1340" s="4">
        <x:v>14</x:v>
      </x:c>
      <x:c r="M1340" s="4">
        <x:v>14</x:v>
      </x:c>
      <x:c r="N1340" s="5">
        <x:v>1.0</x:v>
      </x:c>
    </x:row>
    <x:row r="1341" ht="24" customHeight="1">
      <x:c r="A1341" s="1" t="inlineStr">
        <x:is>
          <x:t xml:space="preserve">RESULT</x:t>
        </x:is>
      </x:c>
      <x:c r="B1341" s="1" t="inlineStr">
        <x:is>
          <x:t xml:space="preserve">Round2</x:t>
        </x:is>
      </x:c>
      <x:c r="C1341" s="1" t="inlineStr">
        <x:is>
          <x:t xml:space="preserve">JacksonDatabind_87</x:t>
        </x:is>
      </x:c>
      <x:c r="D1341" s="1" t="inlineStr">
        <x:is>
          <x:t xml:space="preserve">NOT_REVEALING</x:t>
        </x:is>
      </x:c>
      <x:c r="E1341" s="5">
        <x:v>0.8564</x:v>
      </x:c>
      <x:c r="F1341" s="4">
        <x:v>0</x:v>
      </x:c>
      <x:c r="G1341" s="4"/>
      <x:c r="H1341" s="6"/>
      <x:c r="I1341" s="16">
        <x:v>1</x:v>
      </x:c>
      <x:c r="J1341">
        <x:v>202</x:v>
      </x:c>
      <x:c r="K1341" s="4">
        <x:v>173</x:v>
      </x:c>
      <x:c r="L1341" s="4">
        <x:v>136</x:v>
      </x:c>
      <x:c r="M1341" s="4">
        <x:v>89</x:v>
      </x:c>
      <x:c r="N1341" s="5">
        <x:v>0.6544</x:v>
      </x:c>
    </x:row>
    <x:row r="1342" ht="24" customHeight="1">
      <x:c r="A1342" s="1" t="inlineStr">
        <x:is>
          <x:t xml:space="preserve">RESULT</x:t>
        </x:is>
      </x:c>
      <x:c r="B1342" s="1" t="inlineStr">
        <x:is>
          <x:t xml:space="preserve">Round2</x:t>
        </x:is>
      </x:c>
      <x:c r="C1342" s="1" t="inlineStr">
        <x:is>
          <x:t xml:space="preserve">JacksonDatabind_88</x:t>
        </x:is>
      </x:c>
      <x:c r="D1342" s="1" t="inlineStr">
        <x:is>
          <x:t xml:space="preserve">NOT_AVAILABLE</x:t>
        </x:is>
      </x:c>
      <x:c r="E1342" s="5"/>
      <x:c r="F1342" s="4">
        <x:v>0</x:v>
      </x:c>
      <x:c r="G1342" s="4">
        <x:v>23731</x:v>
      </x:c>
      <x:c r="H1342" s="6">
        <x:v>124.24</x:v>
      </x:c>
      <x:c r="I1342" s="16">
        <x:v>1</x:v>
      </x:c>
      <x:c r="J1342"/>
      <x:c r="K1342" s="4"/>
      <x:c r="L1342" s="4"/>
      <x:c r="M1342" s="4"/>
      <x:c r="N1342" s="5"/>
    </x:row>
    <x:row r="1343" ht="24" customHeight="1">
      <x:c r="A1343" s="1" t="inlineStr">
        <x:is>
          <x:t xml:space="preserve">RESULT</x:t>
        </x:is>
      </x:c>
      <x:c r="B1343" s="1" t="inlineStr">
        <x:is>
          <x:t xml:space="preserve">Round2</x:t>
        </x:is>
      </x:c>
      <x:c r="C1343" s="1" t="inlineStr">
        <x:is>
          <x:t xml:space="preserve">JacksonDatabind_9</x:t>
        </x:is>
      </x:c>
      <x:c r="D1343" s="1" t="inlineStr">
        <x:is>
          <x:t xml:space="preserve">INCONCLUSIVE</x:t>
        </x:is>
      </x:c>
      <x:c r="E1343" s="5">
        <x:v>0.9</x:v>
      </x:c>
      <x:c r="F1343" s="4">
        <x:v>0</x:v>
      </x:c>
      <x:c r="G1343" s="4"/>
      <x:c r="H1343" s="6"/>
      <x:c r="I1343" s="16">
        <x:v>1</x:v>
      </x:c>
      <x:c r="J1343">
        <x:v>10</x:v>
      </x:c>
      <x:c r="K1343" s="4">
        <x:v>9</x:v>
      </x:c>
      <x:c r="L1343" s="4">
        <x:v>2</x:v>
      </x:c>
      <x:c r="M1343" s="4">
        <x:v>2</x:v>
      </x:c>
      <x:c r="N1343" s="5">
        <x:v>1.0</x:v>
      </x:c>
    </x:row>
    <x:row r="1344" ht="24" customHeight="1">
      <x:c r="A1344" s="1" t="inlineStr">
        <x:is>
          <x:t xml:space="preserve">RESULT</x:t>
        </x:is>
      </x:c>
      <x:c r="B1344" s="1" t="inlineStr">
        <x:is>
          <x:t xml:space="preserve">Round2</x:t>
        </x:is>
      </x:c>
      <x:c r="C1344" s="1" t="inlineStr">
        <x:is>
          <x:t xml:space="preserve">JacksonDatabind_90</x:t>
        </x:is>
      </x:c>
      <x:c r="D1344" s="1" t="inlineStr">
        <x:is>
          <x:t xml:space="preserve">NOT_AVAILABLE</x:t>
        </x:is>
      </x:c>
      <x:c r="E1344" s="5"/>
      <x:c r="F1344" s="4">
        <x:v>0</x:v>
      </x:c>
      <x:c r="G1344" s="4">
        <x:v>63602</x:v>
      </x:c>
      <x:c r="H1344" s="6">
        <x:v>1077.35</x:v>
      </x:c>
      <x:c r="I1344" s="16">
        <x:v>1</x:v>
      </x:c>
      <x:c r="J1344"/>
      <x:c r="K1344" s="4"/>
      <x:c r="L1344" s="4"/>
      <x:c r="M1344" s="4"/>
      <x:c r="N1344" s="5"/>
    </x:row>
    <x:row r="1345" ht="24" customHeight="1">
      <x:c r="A1345" s="1" t="inlineStr">
        <x:is>
          <x:t xml:space="preserve">RESULT</x:t>
        </x:is>
      </x:c>
      <x:c r="B1345" s="1" t="inlineStr">
        <x:is>
          <x:t xml:space="preserve">Round2</x:t>
        </x:is>
      </x:c>
      <x:c r="C1345" s="1" t="inlineStr">
        <x:is>
          <x:t xml:space="preserve">JacksonDatabind_91</x:t>
        </x:is>
      </x:c>
      <x:c r="D1345" s="1" t="inlineStr">
        <x:is>
          <x:t xml:space="preserve">NOT_AVAILABLE</x:t>
        </x:is>
      </x:c>
      <x:c r="E1345" s="5"/>
      <x:c r="F1345" s="4">
        <x:v>0</x:v>
      </x:c>
      <x:c r="G1345" s="4">
        <x:v>33235</x:v>
      </x:c>
      <x:c r="H1345" s="6">
        <x:v>822.6</x:v>
      </x:c>
      <x:c r="I1345" s="16">
        <x:v>1</x:v>
      </x:c>
      <x:c r="J1345"/>
      <x:c r="K1345" s="4"/>
      <x:c r="L1345" s="4"/>
      <x:c r="M1345" s="4"/>
      <x:c r="N1345" s="5"/>
    </x:row>
    <x:row r="1346" ht="24" customHeight="1">
      <x:c r="A1346" s="1" t="inlineStr">
        <x:is>
          <x:t xml:space="preserve">RESULT</x:t>
        </x:is>
      </x:c>
      <x:c r="B1346" s="1" t="inlineStr">
        <x:is>
          <x:t xml:space="preserve">Round2</x:t>
        </x:is>
      </x:c>
      <x:c r="C1346" s="1" t="inlineStr">
        <x:is>
          <x:t xml:space="preserve">JacksonDatabind_92</x:t>
        </x:is>
      </x:c>
      <x:c r="D1346" s="1" t="inlineStr">
        <x:is>
          <x:t xml:space="preserve">INCONCLUSIVE</x:t>
        </x:is>
      </x:c>
      <x:c r="E1346" s="5">
        <x:v>0.16670000000000001</x:v>
      </x:c>
      <x:c r="F1346" s="4">
        <x:v>0</x:v>
      </x:c>
      <x:c r="G1346" s="4">
        <x:v>30101</x:v>
      </x:c>
      <x:c r="H1346" s="6">
        <x:v>975.39</x:v>
      </x:c>
      <x:c r="I1346" s="16">
        <x:v>1</x:v>
      </x:c>
      <x:c r="J1346">
        <x:v>342</x:v>
      </x:c>
      <x:c r="K1346" s="4">
        <x:v>57</x:v>
      </x:c>
      <x:c r="L1346" s="4">
        <x:v>204</x:v>
      </x:c>
      <x:c r="M1346" s="4">
        <x:v>22</x:v>
      </x:c>
      <x:c r="N1346" s="5">
        <x:v>0.10779999999999999</x:v>
      </x:c>
    </x:row>
    <x:row r="1347" ht="24" customHeight="1">
      <x:c r="A1347" s="1" t="inlineStr">
        <x:is>
          <x:t xml:space="preserve">RESULT</x:t>
        </x:is>
      </x:c>
      <x:c r="B1347" s="1" t="inlineStr">
        <x:is>
          <x:t xml:space="preserve">Round2</x:t>
        </x:is>
      </x:c>
      <x:c r="C1347" s="1" t="inlineStr">
        <x:is>
          <x:t xml:space="preserve">JacksonDatabind_93</x:t>
        </x:is>
      </x:c>
      <x:c r="D1347" s="1" t="inlineStr">
        <x:is>
          <x:t xml:space="preserve">INCONCLUSIVE</x:t>
        </x:is>
      </x:c>
      <x:c r="E1347" s="5">
        <x:v>0.8611</x:v>
      </x:c>
      <x:c r="F1347" s="4">
        <x:v>0</x:v>
      </x:c>
      <x:c r="G1347" s="4">
        <x:v>18382</x:v>
      </x:c>
      <x:c r="H1347" s="6">
        <x:v>500.09</x:v>
      </x:c>
      <x:c r="I1347" s="16">
        <x:v>1</x:v>
      </x:c>
      <x:c r="J1347">
        <x:v>36</x:v>
      </x:c>
      <x:c r="K1347" s="4">
        <x:v>31</x:v>
      </x:c>
      <x:c r="L1347" s="4">
        <x:v>10</x:v>
      </x:c>
      <x:c r="M1347" s="4">
        <x:v>3</x:v>
      </x:c>
      <x:c r="N1347" s="5">
        <x:v>0.3</x:v>
      </x:c>
    </x:row>
    <x:row r="1348" ht="24" customHeight="1">
      <x:c r="A1348" s="1" t="inlineStr">
        <x:is>
          <x:t xml:space="preserve">RESULT</x:t>
        </x:is>
      </x:c>
      <x:c r="B1348" s="1" t="inlineStr">
        <x:is>
          <x:t xml:space="preserve">Round2</x:t>
        </x:is>
      </x:c>
      <x:c r="C1348" s="1" t="inlineStr">
        <x:is>
          <x:t xml:space="preserve">JacksonDatabind_94</x:t>
        </x:is>
      </x:c>
      <x:c r="D1348" s="1" t="inlineStr">
        <x:is>
          <x:t xml:space="preserve">INCONCLUSIVE</x:t>
        </x:is>
      </x:c>
      <x:c r="E1348" s="5">
        <x:v>0.8571</x:v>
      </x:c>
      <x:c r="F1348" s="4">
        <x:v>0</x:v>
      </x:c>
      <x:c r="G1348" s="4"/>
      <x:c r="H1348" s="6"/>
      <x:c r="I1348" s="16">
        <x:v>1</x:v>
      </x:c>
      <x:c r="J1348">
        <x:v>35</x:v>
      </x:c>
      <x:c r="K1348" s="4">
        <x:v>30</x:v>
      </x:c>
      <x:c r="L1348" s="4">
        <x:v>14</x:v>
      </x:c>
      <x:c r="M1348" s="4">
        <x:v>5</x:v>
      </x:c>
      <x:c r="N1348" s="5">
        <x:v>0.35710000000000003</x:v>
      </x:c>
    </x:row>
    <x:row r="1349" ht="24" customHeight="1">
      <x:c r="A1349" s="1" t="inlineStr">
        <x:is>
          <x:t xml:space="preserve">RESULT</x:t>
        </x:is>
      </x:c>
      <x:c r="B1349" s="1" t="inlineStr">
        <x:is>
          <x:t xml:space="preserve">Round2</x:t>
        </x:is>
      </x:c>
      <x:c r="C1349" s="1" t="inlineStr">
        <x:is>
          <x:t xml:space="preserve">JacksonDatabind_95</x:t>
        </x:is>
      </x:c>
      <x:c r="D1349" s="1" t="inlineStr">
        <x:is>
          <x:t xml:space="preserve">NOT_AVAILABLE</x:t>
        </x:is>
      </x:c>
      <x:c r="E1349" s="5"/>
      <x:c r="F1349" s="4">
        <x:v>0</x:v>
      </x:c>
      <x:c r="G1349" s="4">
        <x:v>58945</x:v>
      </x:c>
      <x:c r="H1349" s="6">
        <x:v>2072.3</x:v>
      </x:c>
      <x:c r="I1349" s="16">
        <x:v>1</x:v>
      </x:c>
      <x:c r="J1349"/>
      <x:c r="K1349" s="4"/>
      <x:c r="L1349" s="4"/>
      <x:c r="M1349" s="4"/>
      <x:c r="N1349" s="5"/>
    </x:row>
    <x:row r="1350" ht="24" customHeight="1">
      <x:c r="A1350" s="1" t="inlineStr">
        <x:is>
          <x:t xml:space="preserve">RESULT</x:t>
        </x:is>
      </x:c>
      <x:c r="B1350" s="1" t="inlineStr">
        <x:is>
          <x:t xml:space="preserve">Round2</x:t>
        </x:is>
      </x:c>
      <x:c r="C1350" s="1" t="inlineStr">
        <x:is>
          <x:t xml:space="preserve">JacksonDatabind_96</x:t>
        </x:is>
      </x:c>
      <x:c r="D1350" s="1" t="inlineStr">
        <x:is>
          <x:t xml:space="preserve">NOT_AVAILABLE</x:t>
        </x:is>
      </x:c>
      <x:c r="E1350" s="5"/>
      <x:c r="F1350" s="4">
        <x:v>0</x:v>
      </x:c>
      <x:c r="G1350" s="4">
        <x:v>38597</x:v>
      </x:c>
      <x:c r="H1350" s="6">
        <x:v>922.34</x:v>
      </x:c>
      <x:c r="I1350" s="16">
        <x:v>1</x:v>
      </x:c>
      <x:c r="J1350"/>
      <x:c r="K1350" s="4"/>
      <x:c r="L1350" s="4"/>
      <x:c r="M1350" s="4"/>
      <x:c r="N1350" s="5"/>
    </x:row>
    <x:row r="1351" ht="24" customHeight="1">
      <x:c r="A1351" s="1" t="inlineStr">
        <x:is>
          <x:t xml:space="preserve">RESULT</x:t>
        </x:is>
      </x:c>
      <x:c r="B1351" s="1" t="inlineStr">
        <x:is>
          <x:t xml:space="preserve">Round2</x:t>
        </x:is>
      </x:c>
      <x:c r="C1351" s="1" t="inlineStr">
        <x:is>
          <x:t xml:space="preserve">JacksonDatabind_97</x:t>
        </x:is>
      </x:c>
      <x:c r="D1351" s="1" t="inlineStr">
        <x:is>
          <x:t xml:space="preserve">NOT_AVAILABLE</x:t>
        </x:is>
      </x:c>
      <x:c r="E1351" s="5"/>
      <x:c r="F1351" s="4">
        <x:v>0</x:v>
      </x:c>
      <x:c r="G1351" s="4">
        <x:v>35538</x:v>
      </x:c>
      <x:c r="H1351" s="6">
        <x:v>1458.09</x:v>
      </x:c>
      <x:c r="I1351" s="16">
        <x:v>1</x:v>
      </x:c>
      <x:c r="J1351"/>
      <x:c r="K1351" s="4"/>
      <x:c r="L1351" s="4"/>
      <x:c r="M1351" s="4"/>
      <x:c r="N1351" s="5"/>
    </x:row>
    <x:row r="1352" ht="24" customHeight="1">
      <x:c r="A1352" s="1" t="inlineStr">
        <x:is>
          <x:t xml:space="preserve">RESULT</x:t>
        </x:is>
      </x:c>
      <x:c r="B1352" s="1" t="inlineStr">
        <x:is>
          <x:t xml:space="preserve">Round2</x:t>
        </x:is>
      </x:c>
      <x:c r="C1352" s="1" t="inlineStr">
        <x:is>
          <x:t xml:space="preserve">JacksonDatabind_98</x:t>
        </x:is>
      </x:c>
      <x:c r="D1352" s="1" t="inlineStr">
        <x:is>
          <x:t xml:space="preserve">INCONCLUSIVE</x:t>
        </x:is>
      </x:c>
      <x:c r="E1352" s="5">
        <x:v>0.5121</x:v>
      </x:c>
      <x:c r="F1352" s="4">
        <x:v>0</x:v>
      </x:c>
      <x:c r="G1352" s="4">
        <x:v>25442</x:v>
      </x:c>
      <x:c r="H1352" s="6">
        <x:v>858.2</x:v>
      </x:c>
      <x:c r="I1352" s="16">
        <x:v>1</x:v>
      </x:c>
      <x:c r="J1352">
        <x:v>207</x:v>
      </x:c>
      <x:c r="K1352" s="4">
        <x:v>106</x:v>
      </x:c>
      <x:c r="L1352" s="4">
        <x:v>92</x:v>
      </x:c>
      <x:c r="M1352" s="4">
        <x:v>31</x:v>
      </x:c>
      <x:c r="N1352" s="5">
        <x:v>0.337</x:v>
      </x:c>
    </x:row>
    <x:row r="1353" ht="24" customHeight="1">
      <x:c r="A1353" s="1" t="inlineStr">
        <x:is>
          <x:t xml:space="preserve">RESULT</x:t>
        </x:is>
      </x:c>
      <x:c r="B1353" s="1" t="inlineStr">
        <x:is>
          <x:t xml:space="preserve">Round2</x:t>
        </x:is>
      </x:c>
      <x:c r="C1353" s="1" t="inlineStr">
        <x:is>
          <x:t xml:space="preserve">JacksonDatabind_99</x:t>
        </x:is>
      </x:c>
      <x:c r="D1353" s="1" t="inlineStr">
        <x:is>
          <x:t xml:space="preserve">NOT_AVAILABLE</x:t>
        </x:is>
      </x:c>
      <x:c r="E1353" s="5"/>
      <x:c r="F1353" s="4">
        <x:v>0</x:v>
      </x:c>
      <x:c r="G1353" s="4">
        <x:v>6041</x:v>
      </x:c>
      <x:c r="H1353" s="6">
        <x:v>34.84</x:v>
      </x:c>
      <x:c r="I1353" s="16">
        <x:v>1</x:v>
      </x:c>
      <x:c r="J1353"/>
      <x:c r="K1353" s="4"/>
      <x:c r="L1353" s="4"/>
      <x:c r="M1353" s="4"/>
      <x:c r="N1353" s="5"/>
    </x:row>
    <x:row r="1354" ht="24" customHeight="1">
      <x:c r="A1354" s="1" t="inlineStr">
        <x:is>
          <x:t xml:space="preserve">RESULT</x:t>
        </x:is>
      </x:c>
      <x:c r="B1354" s="1" t="inlineStr">
        <x:is>
          <x:t xml:space="preserve">Round2</x:t>
        </x:is>
      </x:c>
      <x:c r="C1354" s="1" t="inlineStr">
        <x:is>
          <x:t xml:space="preserve">JacksonXml_1</x:t>
        </x:is>
      </x:c>
      <x:c r="D1354" s="1" t="inlineStr">
        <x:is>
          <x:t xml:space="preserve">NOT_AVAILABLE</x:t>
        </x:is>
      </x:c>
      <x:c r="E1354" s="5"/>
      <x:c r="F1354" s="4">
        <x:v>0</x:v>
      </x:c>
      <x:c r="G1354" s="4">
        <x:v>7577</x:v>
      </x:c>
      <x:c r="H1354" s="6">
        <x:v>18.84</x:v>
      </x:c>
      <x:c r="I1354" s="16">
        <x:v>1</x:v>
      </x:c>
      <x:c r="J1354"/>
      <x:c r="K1354" s="4"/>
      <x:c r="L1354" s="4"/>
      <x:c r="M1354" s="4"/>
      <x:c r="N1354" s="5"/>
    </x:row>
    <x:row r="1355" ht="24" customHeight="1">
      <x:c r="A1355" s="1" t="inlineStr">
        <x:is>
          <x:t xml:space="preserve">RESULT</x:t>
        </x:is>
      </x:c>
      <x:c r="B1355" s="1" t="inlineStr">
        <x:is>
          <x:t xml:space="preserve">Round2</x:t>
        </x:is>
      </x:c>
      <x:c r="C1355" s="1" t="inlineStr">
        <x:is>
          <x:t xml:space="preserve">JacksonXml_2</x:t>
        </x:is>
      </x:c>
      <x:c r="D1355" s="1" t="inlineStr">
        <x:is>
          <x:t xml:space="preserve">NOT_AVAILABLE</x:t>
        </x:is>
      </x:c>
      <x:c r="E1355" s="5"/>
      <x:c r="F1355" s="4">
        <x:v>0</x:v>
      </x:c>
      <x:c r="G1355" s="4">
        <x:v>8268</x:v>
      </x:c>
      <x:c r="H1355" s="6">
        <x:v>28.26</x:v>
      </x:c>
      <x:c r="I1355" s="16">
        <x:v>1</x:v>
      </x:c>
      <x:c r="J1355"/>
      <x:c r="K1355" s="4"/>
      <x:c r="L1355" s="4"/>
      <x:c r="M1355" s="4"/>
      <x:c r="N1355" s="5"/>
    </x:row>
    <x:row r="1356" ht="24" customHeight="1">
      <x:c r="A1356" s="1" t="inlineStr">
        <x:is>
          <x:t xml:space="preserve">RESULT</x:t>
        </x:is>
      </x:c>
      <x:c r="B1356" s="1" t="inlineStr">
        <x:is>
          <x:t xml:space="preserve">Round2</x:t>
        </x:is>
      </x:c>
      <x:c r="C1356" s="1" t="inlineStr">
        <x:is>
          <x:t xml:space="preserve">JacksonXml_3</x:t>
        </x:is>
      </x:c>
      <x:c r="D1356" s="1" t="inlineStr">
        <x:is>
          <x:t xml:space="preserve">NOT_AVAILABLE</x:t>
        </x:is>
      </x:c>
      <x:c r="E1356" s="5"/>
      <x:c r="F1356" s="4">
        <x:v>0</x:v>
      </x:c>
      <x:c r="G1356" s="4">
        <x:v>8209</x:v>
      </x:c>
      <x:c r="H1356" s="6">
        <x:v>24.32</x:v>
      </x:c>
      <x:c r="I1356" s="16">
        <x:v>1</x:v>
      </x:c>
      <x:c r="J1356"/>
      <x:c r="K1356" s="4"/>
      <x:c r="L1356" s="4"/>
      <x:c r="M1356" s="4"/>
      <x:c r="N1356" s="5"/>
    </x:row>
    <x:row r="1357" ht="24" customHeight="1">
      <x:c r="A1357" s="1" t="inlineStr">
        <x:is>
          <x:t xml:space="preserve">RESULT</x:t>
        </x:is>
      </x:c>
      <x:c r="B1357" s="1" t="inlineStr">
        <x:is>
          <x:t xml:space="preserve">Round2</x:t>
        </x:is>
      </x:c>
      <x:c r="C1357" s="1" t="inlineStr">
        <x:is>
          <x:t xml:space="preserve">JacksonXml_4</x:t>
        </x:is>
      </x:c>
      <x:c r="D1357" s="1" t="inlineStr">
        <x:is>
          <x:t xml:space="preserve">NOT_AVAILABLE</x:t>
        </x:is>
      </x:c>
      <x:c r="E1357" s="5"/>
      <x:c r="F1357" s="4">
        <x:v>0</x:v>
      </x:c>
      <x:c r="G1357" s="4">
        <x:v>6458</x:v>
      </x:c>
      <x:c r="H1357" s="6">
        <x:v>33.78</x:v>
      </x:c>
      <x:c r="I1357" s="16">
        <x:v>1</x:v>
      </x:c>
      <x:c r="J1357"/>
      <x:c r="K1357" s="4"/>
      <x:c r="L1357" s="4"/>
      <x:c r="M1357" s="4"/>
      <x:c r="N1357" s="5"/>
    </x:row>
    <x:row r="1358" ht="24" customHeight="1">
      <x:c r="A1358" s="1" t="inlineStr">
        <x:is>
          <x:t xml:space="preserve">RESULT</x:t>
        </x:is>
      </x:c>
      <x:c r="B1358" s="1" t="inlineStr">
        <x:is>
          <x:t xml:space="preserve">Round2</x:t>
        </x:is>
      </x:c>
      <x:c r="C1358" s="1" t="inlineStr">
        <x:is>
          <x:t xml:space="preserve">JacksonXml_5</x:t>
        </x:is>
      </x:c>
      <x:c r="D1358" s="1" t="inlineStr">
        <x:is>
          <x:t xml:space="preserve">NOT_AVAILABLE</x:t>
        </x:is>
      </x:c>
      <x:c r="E1358" s="5"/>
      <x:c r="F1358" s="4">
        <x:v>0</x:v>
      </x:c>
      <x:c r="G1358" s="4">
        <x:v>6689</x:v>
      </x:c>
      <x:c r="H1358" s="6">
        <x:v>29.2</x:v>
      </x:c>
      <x:c r="I1358" s="16">
        <x:v>1</x:v>
      </x:c>
      <x:c r="J1358"/>
      <x:c r="K1358" s="4"/>
      <x:c r="L1358" s="4"/>
      <x:c r="M1358" s="4"/>
      <x:c r="N1358" s="5"/>
    </x:row>
    <x:row r="1359" ht="24" customHeight="1">
      <x:c r="A1359" s="1" t="inlineStr">
        <x:is>
          <x:t xml:space="preserve">RESULT</x:t>
        </x:is>
      </x:c>
      <x:c r="B1359" s="1" t="inlineStr">
        <x:is>
          <x:t xml:space="preserve">Round2</x:t>
        </x:is>
      </x:c>
      <x:c r="C1359" s="1" t="inlineStr">
        <x:is>
          <x:t xml:space="preserve">JacksonXml_6</x:t>
        </x:is>
      </x:c>
      <x:c r="D1359" s="1" t="inlineStr">
        <x:is>
          <x:t xml:space="preserve">NOT_AVAILABLE</x:t>
        </x:is>
      </x:c>
      <x:c r="E1359" s="5"/>
      <x:c r="F1359" s="4">
        <x:v>0</x:v>
      </x:c>
      <x:c r="G1359" s="4">
        <x:v>13988</x:v>
      </x:c>
      <x:c r="H1359" s="6">
        <x:v>47.19</x:v>
      </x:c>
      <x:c r="I1359" s="16">
        <x:v>1</x:v>
      </x:c>
      <x:c r="J1359"/>
      <x:c r="K1359" s="4"/>
      <x:c r="L1359" s="4"/>
      <x:c r="M1359" s="4"/>
      <x:c r="N1359" s="5"/>
    </x:row>
    <x:row r="1360" ht="24" customHeight="1">
      <x:c r="A1360" s="1" t="inlineStr">
        <x:is>
          <x:t xml:space="preserve">RESULT</x:t>
        </x:is>
      </x:c>
      <x:c r="B1360" s="1" t="inlineStr">
        <x:is>
          <x:t xml:space="preserve">Round2</x:t>
        </x:is>
      </x:c>
      <x:c r="C1360" s="1" t="inlineStr">
        <x:is>
          <x:t xml:space="preserve">Jsoup_1</x:t>
        </x:is>
      </x:c>
      <x:c r="D1360" s="1" t="inlineStr">
        <x:is>
          <x:t xml:space="preserve">INCONCLUSIVE</x:t>
        </x:is>
      </x:c>
      <x:c r="E1360" s="5">
        <x:v>0.9783</x:v>
      </x:c>
      <x:c r="F1360" s="4">
        <x:v>0</x:v>
      </x:c>
      <x:c r="G1360" s="4"/>
      <x:c r="H1360" s="6"/>
      <x:c r="I1360" s="16">
        <x:v>1</x:v>
      </x:c>
      <x:c r="J1360">
        <x:v>46</x:v>
      </x:c>
      <x:c r="K1360" s="4">
        <x:v>45</x:v>
      </x:c>
      <x:c r="L1360" s="4">
        <x:v>18</x:v>
      </x:c>
      <x:c r="M1360" s="4">
        <x:v>17</x:v>
      </x:c>
      <x:c r="N1360" s="5">
        <x:v>0.9444</x:v>
      </x:c>
    </x:row>
    <x:row r="1361" ht="24" customHeight="1">
      <x:c r="A1361" s="1" t="inlineStr">
        <x:is>
          <x:t xml:space="preserve">RESULT</x:t>
        </x:is>
      </x:c>
      <x:c r="B1361" s="1" t="inlineStr">
        <x:is>
          <x:t xml:space="preserve">Round2</x:t>
        </x:is>
      </x:c>
      <x:c r="C1361" s="1" t="inlineStr">
        <x:is>
          <x:t xml:space="preserve">Jsoup_10</x:t>
        </x:is>
      </x:c>
      <x:c r="D1361" s="1" t="inlineStr">
        <x:is>
          <x:t xml:space="preserve">NOT_AVAILABLE</x:t>
        </x:is>
      </x:c>
      <x:c r="E1361" s="5"/>
      <x:c r="F1361" s="4">
        <x:v>0</x:v>
      </x:c>
      <x:c r="G1361" s="4">
        <x:v>15171</x:v>
      </x:c>
      <x:c r="H1361" s="6">
        <x:v>93.88</x:v>
      </x:c>
      <x:c r="I1361" s="16">
        <x:v>1</x:v>
      </x:c>
      <x:c r="J1361"/>
      <x:c r="K1361" s="4"/>
      <x:c r="L1361" s="4"/>
      <x:c r="M1361" s="4"/>
      <x:c r="N1361" s="5"/>
    </x:row>
    <x:row r="1362" ht="24" customHeight="1">
      <x:c r="A1362" s="1" t="inlineStr">
        <x:is>
          <x:t xml:space="preserve">RESULT</x:t>
        </x:is>
      </x:c>
      <x:c r="B1362" s="1" t="inlineStr">
        <x:is>
          <x:t xml:space="preserve">Round2</x:t>
        </x:is>
      </x:c>
      <x:c r="C1362" s="1" t="inlineStr">
        <x:is>
          <x:t xml:space="preserve">Jsoup_11</x:t>
        </x:is>
      </x:c>
      <x:c r="D1362" s="1" t="inlineStr">
        <x:is>
          <x:t xml:space="preserve">INCONCLUSIVE</x:t>
        </x:is>
      </x:c>
      <x:c r="E1362" s="5">
        <x:v>0.8131</x:v>
      </x:c>
      <x:c r="F1362" s="4">
        <x:v>0</x:v>
      </x:c>
      <x:c r="G1362" s="4"/>
      <x:c r="H1362" s="6"/>
      <x:c r="I1362" s="16">
        <x:v>1</x:v>
      </x:c>
      <x:c r="J1362">
        <x:v>198</x:v>
      </x:c>
      <x:c r="K1362" s="4">
        <x:v>161</x:v>
      </x:c>
      <x:c r="L1362" s="4">
        <x:v>120</x:v>
      </x:c>
      <x:c r="M1362" s="4">
        <x:v>83</x:v>
      </x:c>
      <x:c r="N1362" s="5">
        <x:v>0.6917</x:v>
      </x:c>
    </x:row>
    <x:row r="1363" ht="24" customHeight="1">
      <x:c r="A1363" s="1" t="inlineStr">
        <x:is>
          <x:t xml:space="preserve">RESULT</x:t>
        </x:is>
      </x:c>
      <x:c r="B1363" s="1" t="inlineStr">
        <x:is>
          <x:t xml:space="preserve">Round2</x:t>
        </x:is>
      </x:c>
      <x:c r="C1363" s="1" t="inlineStr">
        <x:is>
          <x:t xml:space="preserve">Jsoup_12</x:t>
        </x:is>
      </x:c>
      <x:c r="D1363" s="1" t="inlineStr">
        <x:is>
          <x:t xml:space="preserve">INCONCLUSIVE</x:t>
        </x:is>
      </x:c>
      <x:c r="E1363" s="5">
        <x:v>0.9495</x:v>
      </x:c>
      <x:c r="F1363" s="4">
        <x:v>0</x:v>
      </x:c>
      <x:c r="G1363" s="4"/>
      <x:c r="H1363" s="6"/>
      <x:c r="I1363" s="16">
        <x:v>1</x:v>
      </x:c>
      <x:c r="J1363">
        <x:v>218</x:v>
      </x:c>
      <x:c r="K1363" s="4">
        <x:v>207</x:v>
      </x:c>
      <x:c r="L1363" s="4">
        <x:v>132</x:v>
      </x:c>
      <x:c r="M1363" s="4">
        <x:v>118</x:v>
      </x:c>
      <x:c r="N1363" s="5">
        <x:v>0.8939</x:v>
      </x:c>
    </x:row>
    <x:row r="1364" ht="24" customHeight="1">
      <x:c r="A1364" s="1" t="inlineStr">
        <x:is>
          <x:t xml:space="preserve">RESULT</x:t>
        </x:is>
      </x:c>
      <x:c r="B1364" s="1" t="inlineStr">
        <x:is>
          <x:t xml:space="preserve">Round2</x:t>
        </x:is>
      </x:c>
      <x:c r="C1364" s="1" t="inlineStr">
        <x:is>
          <x:t xml:space="preserve">Jsoup_13</x:t>
        </x:is>
      </x:c>
      <x:c r="D1364" s="1" t="inlineStr">
        <x:is>
          <x:t xml:space="preserve">NOT_AVAILABLE</x:t>
        </x:is>
      </x:c>
      <x:c r="E1364" s="5"/>
      <x:c r="F1364" s="4">
        <x:v>0</x:v>
      </x:c>
      <x:c r="G1364" s="4">
        <x:v>19164</x:v>
      </x:c>
      <x:c r="H1364" s="6">
        <x:v>123.58</x:v>
      </x:c>
      <x:c r="I1364" s="16">
        <x:v>1</x:v>
      </x:c>
      <x:c r="J1364"/>
      <x:c r="K1364" s="4"/>
      <x:c r="L1364" s="4"/>
      <x:c r="M1364" s="4"/>
      <x:c r="N1364" s="5"/>
    </x:row>
    <x:row r="1365" ht="24" customHeight="1">
      <x:c r="A1365" s="1" t="inlineStr">
        <x:is>
          <x:t xml:space="preserve">RESULT</x:t>
        </x:is>
      </x:c>
      <x:c r="B1365" s="1" t="inlineStr">
        <x:is>
          <x:t xml:space="preserve">Round2</x:t>
        </x:is>
      </x:c>
      <x:c r="C1365" s="1" t="inlineStr">
        <x:is>
          <x:t xml:space="preserve">Jsoup_14</x:t>
        </x:is>
      </x:c>
      <x:c r="D1365" s="1" t="inlineStr">
        <x:is>
          <x:t xml:space="preserve">NOT_AVAILABLE</x:t>
        </x:is>
      </x:c>
      <x:c r="E1365" s="5"/>
      <x:c r="F1365" s="4">
        <x:v>0</x:v>
      </x:c>
      <x:c r="G1365" s="4">
        <x:v>35764</x:v>
      </x:c>
      <x:c r="H1365" s="6">
        <x:v>184.42</x:v>
      </x:c>
      <x:c r="I1365" s="16">
        <x:v>1</x:v>
      </x:c>
      <x:c r="J1365"/>
      <x:c r="K1365" s="4"/>
      <x:c r="L1365" s="4"/>
      <x:c r="M1365" s="4"/>
      <x:c r="N1365" s="5"/>
    </x:row>
    <x:row r="1366" ht="24" customHeight="1">
      <x:c r="A1366" s="1" t="inlineStr">
        <x:is>
          <x:t xml:space="preserve">RESULT</x:t>
        </x:is>
      </x:c>
      <x:c r="B1366" s="1" t="inlineStr">
        <x:is>
          <x:t xml:space="preserve">Round2</x:t>
        </x:is>
      </x:c>
      <x:c r="C1366" s="1" t="inlineStr">
        <x:is>
          <x:t xml:space="preserve">Jsoup_15</x:t>
        </x:is>
      </x:c>
      <x:c r="D1366" s="1" t="inlineStr">
        <x:is>
          <x:t xml:space="preserve">NOT_AVAILABLE</x:t>
        </x:is>
      </x:c>
      <x:c r="E1366" s="5"/>
      <x:c r="F1366" s="4">
        <x:v>0</x:v>
      </x:c>
      <x:c r="G1366" s="4">
        <x:v>18435</x:v>
      </x:c>
      <x:c r="H1366" s="6">
        <x:v>50.5</x:v>
      </x:c>
      <x:c r="I1366" s="16">
        <x:v>1</x:v>
      </x:c>
      <x:c r="J1366"/>
      <x:c r="K1366" s="4"/>
      <x:c r="L1366" s="4"/>
      <x:c r="M1366" s="4"/>
      <x:c r="N1366" s="5"/>
    </x:row>
    <x:row r="1367" ht="24" customHeight="1">
      <x:c r="A1367" s="1" t="inlineStr">
        <x:is>
          <x:t xml:space="preserve">RESULT</x:t>
        </x:is>
      </x:c>
      <x:c r="B1367" s="1" t="inlineStr">
        <x:is>
          <x:t xml:space="preserve">Round2</x:t>
        </x:is>
      </x:c>
      <x:c r="C1367" s="1" t="inlineStr">
        <x:is>
          <x:t xml:space="preserve">Jsoup_16</x:t>
        </x:is>
      </x:c>
      <x:c r="D1367" s="1" t="inlineStr">
        <x:is>
          <x:t xml:space="preserve">INCONCLUSIVE</x:t>
        </x:is>
      </x:c>
      <x:c r="E1367" s="5">
        <x:v>1.0</x:v>
      </x:c>
      <x:c r="F1367" s="4">
        <x:v>0</x:v>
      </x:c>
      <x:c r="G1367" s="4"/>
      <x:c r="H1367" s="6"/>
      <x:c r="I1367" s="16">
        <x:v>1</x:v>
      </x:c>
      <x:c r="J1367">
        <x:v>14</x:v>
      </x:c>
      <x:c r="K1367" s="4">
        <x:v>14</x:v>
      </x:c>
      <x:c r="L1367" s="4">
        <x:v>4</x:v>
      </x:c>
      <x:c r="M1367" s="4">
        <x:v>4</x:v>
      </x:c>
      <x:c r="N1367" s="5">
        <x:v>1.0</x:v>
      </x:c>
    </x:row>
    <x:row r="1368" ht="24" customHeight="1">
      <x:c r="A1368" s="1" t="inlineStr">
        <x:is>
          <x:t xml:space="preserve">RESULT</x:t>
        </x:is>
      </x:c>
      <x:c r="B1368" s="1" t="inlineStr">
        <x:is>
          <x:t xml:space="preserve">Round2</x:t>
        </x:is>
      </x:c>
      <x:c r="C1368" s="1" t="inlineStr">
        <x:is>
          <x:t xml:space="preserve">Jsoup_17</x:t>
        </x:is>
      </x:c>
      <x:c r="D1368" s="1" t="inlineStr">
        <x:is>
          <x:t xml:space="preserve">NOT_AVAILABLE</x:t>
        </x:is>
      </x:c>
      <x:c r="E1368" s="5"/>
      <x:c r="F1368" s="4">
        <x:v>0</x:v>
      </x:c>
      <x:c r="G1368" s="4">
        <x:v>19122</x:v>
      </x:c>
      <x:c r="H1368" s="6">
        <x:v>54.56</x:v>
      </x:c>
      <x:c r="I1368" s="16">
        <x:v>1</x:v>
      </x:c>
      <x:c r="J1368"/>
      <x:c r="K1368" s="4"/>
      <x:c r="L1368" s="4"/>
      <x:c r="M1368" s="4"/>
      <x:c r="N1368" s="5"/>
    </x:row>
    <x:row r="1369" ht="24" customHeight="1">
      <x:c r="A1369" s="1" t="inlineStr">
        <x:is>
          <x:t xml:space="preserve">RESULT</x:t>
        </x:is>
      </x:c>
      <x:c r="B1369" s="1" t="inlineStr">
        <x:is>
          <x:t xml:space="preserve">Round2</x:t>
        </x:is>
      </x:c>
      <x:c r="C1369" s="1" t="inlineStr">
        <x:is>
          <x:t xml:space="preserve">Jsoup_18</x:t>
        </x:is>
      </x:c>
      <x:c r="D1369" s="1" t="inlineStr">
        <x:is>
          <x:t xml:space="preserve">INCONCLUSIVE</x:t>
        </x:is>
      </x:c>
      <x:c r="E1369" s="5">
        <x:v>0.9897</x:v>
      </x:c>
      <x:c r="F1369" s="4">
        <x:v>0</x:v>
      </x:c>
      <x:c r="G1369" s="4"/>
      <x:c r="H1369" s="6"/>
      <x:c r="I1369" s="16">
        <x:v>1</x:v>
      </x:c>
      <x:c r="J1369">
        <x:v>97</x:v>
      </x:c>
      <x:c r="K1369" s="4">
        <x:v>96</x:v>
      </x:c>
      <x:c r="L1369" s="4">
        <x:v>82</x:v>
      </x:c>
      <x:c r="M1369" s="4">
        <x:v>68</x:v>
      </x:c>
      <x:c r="N1369" s="5">
        <x:v>0.8293</x:v>
      </x:c>
    </x:row>
    <x:row r="1370" ht="24" customHeight="1">
      <x:c r="A1370" s="1" t="inlineStr">
        <x:is>
          <x:t xml:space="preserve">RESULT</x:t>
        </x:is>
      </x:c>
      <x:c r="B1370" s="1" t="inlineStr">
        <x:is>
          <x:t xml:space="preserve">Round2</x:t>
        </x:is>
      </x:c>
      <x:c r="C1370" s="1" t="inlineStr">
        <x:is>
          <x:t xml:space="preserve">Jsoup_19</x:t>
        </x:is>
      </x:c>
      <x:c r="D1370" s="1" t="inlineStr">
        <x:is>
          <x:t xml:space="preserve">NOT_AVAILABLE</x:t>
        </x:is>
      </x:c>
      <x:c r="E1370" s="5"/>
      <x:c r="F1370" s="4">
        <x:v>0</x:v>
      </x:c>
      <x:c r="G1370" s="4">
        <x:v>17824</x:v>
      </x:c>
      <x:c r="H1370" s="6">
        <x:v>114.84</x:v>
      </x:c>
      <x:c r="I1370" s="16">
        <x:v>1</x:v>
      </x:c>
      <x:c r="J1370"/>
      <x:c r="K1370" s="4"/>
      <x:c r="L1370" s="4"/>
      <x:c r="M1370" s="4"/>
      <x:c r="N1370" s="5"/>
    </x:row>
    <x:row r="1371" ht="24" customHeight="1">
      <x:c r="A1371" s="1" t="inlineStr">
        <x:is>
          <x:t xml:space="preserve">RESULT</x:t>
        </x:is>
      </x:c>
      <x:c r="B1371" s="1" t="inlineStr">
        <x:is>
          <x:t xml:space="preserve">Round2</x:t>
        </x:is>
      </x:c>
      <x:c r="C1371" s="1" t="inlineStr">
        <x:is>
          <x:t xml:space="preserve">Jsoup_2</x:t>
        </x:is>
      </x:c>
      <x:c r="D1371" s="1" t="inlineStr">
        <x:is>
          <x:t xml:space="preserve">NOT_AVAILABLE</x:t>
        </x:is>
      </x:c>
      <x:c r="E1371" s="5"/>
      <x:c r="F1371" s="4">
        <x:v>0</x:v>
      </x:c>
      <x:c r="G1371" s="4">
        <x:v>8352</x:v>
      </x:c>
      <x:c r="H1371" s="6">
        <x:v>43.78</x:v>
      </x:c>
      <x:c r="I1371" s="16">
        <x:v>1</x:v>
      </x:c>
      <x:c r="J1371"/>
      <x:c r="K1371" s="4"/>
      <x:c r="L1371" s="4"/>
      <x:c r="M1371" s="4"/>
      <x:c r="N1371" s="5"/>
    </x:row>
    <x:row r="1372" ht="24" customHeight="1">
      <x:c r="A1372" s="1" t="inlineStr">
        <x:is>
          <x:t xml:space="preserve">RESULT</x:t>
        </x:is>
      </x:c>
      <x:c r="B1372" s="1" t="inlineStr">
        <x:is>
          <x:t xml:space="preserve">Round2</x:t>
        </x:is>
      </x:c>
      <x:c r="C1372" s="1" t="inlineStr">
        <x:is>
          <x:t xml:space="preserve">Jsoup_20</x:t>
        </x:is>
      </x:c>
      <x:c r="D1372" s="1" t="inlineStr">
        <x:is>
          <x:t xml:space="preserve">INCONCLUSIVE</x:t>
        </x:is>
      </x:c>
      <x:c r="E1372" s="5">
        <x:v>0.9773000000000001</x:v>
      </x:c>
      <x:c r="F1372" s="4">
        <x:v>0</x:v>
      </x:c>
      <x:c r="G1372" s="4"/>
      <x:c r="H1372" s="6"/>
      <x:c r="I1372" s="16">
        <x:v>1</x:v>
      </x:c>
      <x:c r="J1372">
        <x:v>44</x:v>
      </x:c>
      <x:c r="K1372" s="4">
        <x:v>43</x:v>
      </x:c>
      <x:c r="L1372" s="4">
        <x:v>22</x:v>
      </x:c>
      <x:c r="M1372" s="4">
        <x:v>19</x:v>
      </x:c>
      <x:c r="N1372" s="5">
        <x:v>0.8636</x:v>
      </x:c>
    </x:row>
    <x:row r="1373" ht="24" customHeight="1">
      <x:c r="A1373" s="1" t="inlineStr">
        <x:is>
          <x:t xml:space="preserve">RESULT</x:t>
        </x:is>
      </x:c>
      <x:c r="B1373" s="1" t="inlineStr">
        <x:is>
          <x:t xml:space="preserve">Round2</x:t>
        </x:is>
      </x:c>
      <x:c r="C1373" s="1" t="inlineStr">
        <x:is>
          <x:t xml:space="preserve">Jsoup_21</x:t>
        </x:is>
      </x:c>
      <x:c r="D1373" s="1" t="inlineStr">
        <x:is>
          <x:t xml:space="preserve">INCONCLUSIVE</x:t>
        </x:is>
      </x:c>
      <x:c r="E1373" s="5">
        <x:v>0.9947</x:v>
      </x:c>
      <x:c r="F1373" s="4">
        <x:v>0</x:v>
      </x:c>
      <x:c r="G1373" s="4">
        <x:v>72872</x:v>
      </x:c>
      <x:c r="H1373" s="6">
        <x:v>410.56</x:v>
      </x:c>
      <x:c r="I1373" s="16">
        <x:v>1</x:v>
      </x:c>
      <x:c r="J1373">
        <x:v>189</x:v>
      </x:c>
      <x:c r="K1373" s="4">
        <x:v>188</x:v>
      </x:c>
      <x:c r="L1373" s="4">
        <x:v>96</x:v>
      </x:c>
      <x:c r="M1373" s="4">
        <x:v>95</x:v>
      </x:c>
      <x:c r="N1373" s="5">
        <x:v>0.9895999999999999</x:v>
      </x:c>
    </x:row>
    <x:row r="1374" ht="24" customHeight="1">
      <x:c r="A1374" s="1" t="inlineStr">
        <x:is>
          <x:t xml:space="preserve">RESULT</x:t>
        </x:is>
      </x:c>
      <x:c r="B1374" s="1" t="inlineStr">
        <x:is>
          <x:t xml:space="preserve">Round2</x:t>
        </x:is>
      </x:c>
      <x:c r="C1374" s="1" t="inlineStr">
        <x:is>
          <x:t xml:space="preserve">Jsoup_22</x:t>
        </x:is>
      </x:c>
      <x:c r="D1374" s="1" t="inlineStr">
        <x:is>
          <x:t xml:space="preserve">NOT_AVAILABLE</x:t>
        </x:is>
      </x:c>
      <x:c r="E1374" s="5"/>
      <x:c r="F1374" s="4">
        <x:v>0</x:v>
      </x:c>
      <x:c r="G1374" s="4">
        <x:v>86427</x:v>
      </x:c>
      <x:c r="H1374" s="6">
        <x:v>2539.51</x:v>
      </x:c>
      <x:c r="I1374" s="16">
        <x:v>1</x:v>
      </x:c>
      <x:c r="J1374"/>
      <x:c r="K1374" s="4"/>
      <x:c r="L1374" s="4"/>
      <x:c r="M1374" s="4"/>
      <x:c r="N1374" s="5"/>
    </x:row>
    <x:row r="1375" ht="24" customHeight="1">
      <x:c r="A1375" s="1" t="inlineStr">
        <x:is>
          <x:t xml:space="preserve">RESULT</x:t>
        </x:is>
      </x:c>
      <x:c r="B1375" s="1" t="inlineStr">
        <x:is>
          <x:t xml:space="preserve">Round2</x:t>
        </x:is>
      </x:c>
      <x:c r="C1375" s="1" t="inlineStr">
        <x:is>
          <x:t xml:space="preserve">Jsoup_23</x:t>
        </x:is>
      </x:c>
      <x:c r="D1375" s="1" t="inlineStr">
        <x:is>
          <x:t xml:space="preserve">NOT_AVAILABLE</x:t>
        </x:is>
      </x:c>
      <x:c r="E1375" s="5"/>
      <x:c r="F1375" s="4">
        <x:v>0</x:v>
      </x:c>
      <x:c r="G1375" s="4">
        <x:v>40229</x:v>
      </x:c>
      <x:c r="H1375" s="6">
        <x:v>1254.91</x:v>
      </x:c>
      <x:c r="I1375" s="16">
        <x:v>1</x:v>
      </x:c>
      <x:c r="J1375"/>
      <x:c r="K1375" s="4"/>
      <x:c r="L1375" s="4"/>
      <x:c r="M1375" s="4"/>
      <x:c r="N1375" s="5"/>
    </x:row>
    <x:row r="1376" ht="24" customHeight="1">
      <x:c r="A1376" s="1" t="inlineStr">
        <x:is>
          <x:t xml:space="preserve">RESULT</x:t>
        </x:is>
      </x:c>
      <x:c r="B1376" s="1" t="inlineStr">
        <x:is>
          <x:t xml:space="preserve">Round2</x:t>
        </x:is>
      </x:c>
      <x:c r="C1376" s="1" t="inlineStr">
        <x:is>
          <x:t xml:space="preserve">Jsoup_24</x:t>
        </x:is>
      </x:c>
      <x:c r="D1376" s="1" t="inlineStr">
        <x:is>
          <x:t xml:space="preserve">NOT_AVAILABLE</x:t>
        </x:is>
      </x:c>
      <x:c r="E1376" s="5"/>
      <x:c r="F1376" s="4">
        <x:v>0</x:v>
      </x:c>
      <x:c r="G1376" s="4">
        <x:v>16790</x:v>
      </x:c>
      <x:c r="H1376" s="6">
        <x:v>39.66</x:v>
      </x:c>
      <x:c r="I1376" s="16">
        <x:v>1</x:v>
      </x:c>
      <x:c r="J1376"/>
      <x:c r="K1376" s="4"/>
      <x:c r="L1376" s="4"/>
      <x:c r="M1376" s="4"/>
      <x:c r="N1376" s="5"/>
    </x:row>
    <x:row r="1377" ht="24" customHeight="1">
      <x:c r="A1377" s="1" t="inlineStr">
        <x:is>
          <x:t xml:space="preserve">RESULT</x:t>
        </x:is>
      </x:c>
      <x:c r="B1377" s="1" t="inlineStr">
        <x:is>
          <x:t xml:space="preserve">Round2</x:t>
        </x:is>
      </x:c>
      <x:c r="C1377" s="1" t="inlineStr">
        <x:is>
          <x:t xml:space="preserve">Jsoup_25</x:t>
        </x:is>
      </x:c>
      <x:c r="D1377" s="1" t="inlineStr">
        <x:is>
          <x:t xml:space="preserve">NOT_AVAILABLE</x:t>
        </x:is>
      </x:c>
      <x:c r="E1377" s="5"/>
      <x:c r="F1377" s="4">
        <x:v>0</x:v>
      </x:c>
      <x:c r="G1377" s="4">
        <x:v>7720</x:v>
      </x:c>
      <x:c r="H1377" s="6">
        <x:v>68.2</x:v>
      </x:c>
      <x:c r="I1377" s="16">
        <x:v>1</x:v>
      </x:c>
      <x:c r="J1377"/>
      <x:c r="K1377" s="4"/>
      <x:c r="L1377" s="4"/>
      <x:c r="M1377" s="4"/>
      <x:c r="N1377" s="5"/>
    </x:row>
    <x:row r="1378" ht="24" customHeight="1">
      <x:c r="A1378" s="1" t="inlineStr">
        <x:is>
          <x:t xml:space="preserve">RESULT</x:t>
        </x:is>
      </x:c>
      <x:c r="B1378" s="1" t="inlineStr">
        <x:is>
          <x:t xml:space="preserve">Round2</x:t>
        </x:is>
      </x:c>
      <x:c r="C1378" s="1" t="inlineStr">
        <x:is>
          <x:t xml:space="preserve">Jsoup_26</x:t>
        </x:is>
      </x:c>
      <x:c r="D1378" s="1" t="inlineStr">
        <x:is>
          <x:t xml:space="preserve">NOT_AVAILABLE</x:t>
        </x:is>
      </x:c>
      <x:c r="E1378" s="5"/>
      <x:c r="F1378" s="4">
        <x:v>0</x:v>
      </x:c>
      <x:c r="G1378" s="4">
        <x:v>5764</x:v>
      </x:c>
      <x:c r="H1378" s="6">
        <x:v>57.03</x:v>
      </x:c>
      <x:c r="I1378" s="16">
        <x:v>1</x:v>
      </x:c>
      <x:c r="J1378"/>
      <x:c r="K1378" s="4"/>
      <x:c r="L1378" s="4"/>
      <x:c r="M1378" s="4"/>
      <x:c r="N1378" s="5"/>
    </x:row>
    <x:row r="1379" ht="24" customHeight="1">
      <x:c r="A1379" s="1" t="inlineStr">
        <x:is>
          <x:t xml:space="preserve">RESULT</x:t>
        </x:is>
      </x:c>
      <x:c r="B1379" s="1" t="inlineStr">
        <x:is>
          <x:t xml:space="preserve">Round2</x:t>
        </x:is>
      </x:c>
      <x:c r="C1379" s="1" t="inlineStr">
        <x:is>
          <x:t xml:space="preserve">Jsoup_27</x:t>
        </x:is>
      </x:c>
      <x:c r="D1379" s="1" t="inlineStr">
        <x:is>
          <x:t xml:space="preserve">NOT_AVAILABLE</x:t>
        </x:is>
      </x:c>
      <x:c r="E1379" s="5"/>
      <x:c r="F1379" s="4">
        <x:v>0</x:v>
      </x:c>
      <x:c r="G1379" s="4">
        <x:v>10631</x:v>
      </x:c>
      <x:c r="H1379" s="6">
        <x:v>72.59</x:v>
      </x:c>
      <x:c r="I1379" s="16">
        <x:v>1</x:v>
      </x:c>
      <x:c r="J1379"/>
      <x:c r="K1379" s="4"/>
      <x:c r="L1379" s="4"/>
      <x:c r="M1379" s="4"/>
      <x:c r="N1379" s="5"/>
    </x:row>
    <x:row r="1380" ht="24" customHeight="1">
      <x:c r="A1380" s="1" t="inlineStr">
        <x:is>
          <x:t xml:space="preserve">RESULT</x:t>
        </x:is>
      </x:c>
      <x:c r="B1380" s="1" t="inlineStr">
        <x:is>
          <x:t xml:space="preserve">Round2</x:t>
        </x:is>
      </x:c>
      <x:c r="C1380" s="1" t="inlineStr">
        <x:is>
          <x:t xml:space="preserve">Jsoup_28</x:t>
        </x:is>
      </x:c>
      <x:c r="D1380" s="1" t="inlineStr">
        <x:is>
          <x:t xml:space="preserve">NOT_AVAILABLE</x:t>
        </x:is>
      </x:c>
      <x:c r="E1380" s="5"/>
      <x:c r="F1380" s="4">
        <x:v>0</x:v>
      </x:c>
      <x:c r="G1380" s="4">
        <x:v>39576</x:v>
      </x:c>
      <x:c r="H1380" s="6">
        <x:v>415.45</x:v>
      </x:c>
      <x:c r="I1380" s="16">
        <x:v>1</x:v>
      </x:c>
      <x:c r="J1380"/>
      <x:c r="K1380" s="4"/>
      <x:c r="L1380" s="4"/>
      <x:c r="M1380" s="4"/>
      <x:c r="N1380" s="5"/>
    </x:row>
    <x:row r="1381" ht="24" customHeight="1">
      <x:c r="A1381" s="1" t="inlineStr">
        <x:is>
          <x:t xml:space="preserve">RESULT</x:t>
        </x:is>
      </x:c>
      <x:c r="B1381" s="1" t="inlineStr">
        <x:is>
          <x:t xml:space="preserve">Round2</x:t>
        </x:is>
      </x:c>
      <x:c r="C1381" s="1" t="inlineStr">
        <x:is>
          <x:t xml:space="preserve">Jsoup_29</x:t>
        </x:is>
      </x:c>
      <x:c r="D1381" s="1" t="inlineStr">
        <x:is>
          <x:t xml:space="preserve">NOT_AVAILABLE</x:t>
        </x:is>
      </x:c>
      <x:c r="E1381" s="5"/>
      <x:c r="F1381" s="4">
        <x:v>0</x:v>
      </x:c>
      <x:c r="G1381" s="4">
        <x:v>7451</x:v>
      </x:c>
      <x:c r="H1381" s="6">
        <x:v>62.25</x:v>
      </x:c>
      <x:c r="I1381" s="16">
        <x:v>1</x:v>
      </x:c>
      <x:c r="J1381"/>
      <x:c r="K1381" s="4"/>
      <x:c r="L1381" s="4"/>
      <x:c r="M1381" s="4"/>
      <x:c r="N1381" s="5"/>
    </x:row>
    <x:row r="1382" ht="24" customHeight="1">
      <x:c r="A1382" s="1" t="inlineStr">
        <x:is>
          <x:t xml:space="preserve">RESULT</x:t>
        </x:is>
      </x:c>
      <x:c r="B1382" s="1" t="inlineStr">
        <x:is>
          <x:t xml:space="preserve">Round2</x:t>
        </x:is>
      </x:c>
      <x:c r="C1382" s="1" t="inlineStr">
        <x:is>
          <x:t xml:space="preserve">Jsoup_3</x:t>
        </x:is>
      </x:c>
      <x:c r="D1382" s="1" t="inlineStr">
        <x:is>
          <x:t xml:space="preserve">NOT_AVAILABLE</x:t>
        </x:is>
      </x:c>
      <x:c r="E1382" s="5"/>
      <x:c r="F1382" s="4">
        <x:v>0</x:v>
      </x:c>
      <x:c r="G1382" s="4">
        <x:v>40198</x:v>
      </x:c>
      <x:c r="H1382" s="6">
        <x:v>245.45</x:v>
      </x:c>
      <x:c r="I1382" s="16">
        <x:v>1</x:v>
      </x:c>
      <x:c r="J1382"/>
      <x:c r="K1382" s="4"/>
      <x:c r="L1382" s="4"/>
      <x:c r="M1382" s="4"/>
      <x:c r="N1382" s="5"/>
    </x:row>
    <x:row r="1383" ht="24" customHeight="1">
      <x:c r="A1383" s="1" t="inlineStr">
        <x:is>
          <x:t xml:space="preserve">RESULT</x:t>
        </x:is>
      </x:c>
      <x:c r="B1383" s="1" t="inlineStr">
        <x:is>
          <x:t xml:space="preserve">Round2</x:t>
        </x:is>
      </x:c>
      <x:c r="C1383" s="1" t="inlineStr">
        <x:is>
          <x:t xml:space="preserve">Jsoup_30</x:t>
        </x:is>
      </x:c>
      <x:c r="D1383" s="1" t="inlineStr">
        <x:is>
          <x:t xml:space="preserve">INCONCLUSIVE</x:t>
        </x:is>
      </x:c>
      <x:c r="E1383" s="5">
        <x:v>1.0</x:v>
      </x:c>
      <x:c r="F1383" s="4">
        <x:v>0</x:v>
      </x:c>
      <x:c r="G1383" s="4">
        <x:v>26620</x:v>
      </x:c>
      <x:c r="H1383" s="6">
        <x:v>146.08</x:v>
      </x:c>
      <x:c r="I1383" s="16">
        <x:v>1</x:v>
      </x:c>
      <x:c r="J1383">
        <x:v>50</x:v>
      </x:c>
      <x:c r="K1383" s="4">
        <x:v>50</x:v>
      </x:c>
      <x:c r="L1383" s="4">
        <x:v>16</x:v>
      </x:c>
      <x:c r="M1383" s="4">
        <x:v>16</x:v>
      </x:c>
      <x:c r="N1383" s="5">
        <x:v>1.0</x:v>
      </x:c>
    </x:row>
    <x:row r="1384" ht="24" customHeight="1">
      <x:c r="A1384" s="1" t="inlineStr">
        <x:is>
          <x:t xml:space="preserve">RESULT</x:t>
        </x:is>
      </x:c>
      <x:c r="B1384" s="1" t="inlineStr">
        <x:is>
          <x:t xml:space="preserve">Round2</x:t>
        </x:is>
      </x:c>
      <x:c r="C1384" s="1" t="inlineStr">
        <x:is>
          <x:t xml:space="preserve">Jsoup_31</x:t>
        </x:is>
      </x:c>
      <x:c r="D1384" s="1" t="inlineStr">
        <x:is>
          <x:t xml:space="preserve">NOT_AVAILABLE</x:t>
        </x:is>
      </x:c>
      <x:c r="E1384" s="5"/>
      <x:c r="F1384" s="4">
        <x:v>0</x:v>
      </x:c>
      <x:c r="G1384" s="4">
        <x:v>36910</x:v>
      </x:c>
      <x:c r="H1384" s="6">
        <x:v>172.79</x:v>
      </x:c>
      <x:c r="I1384" s="16">
        <x:v>1</x:v>
      </x:c>
      <x:c r="J1384"/>
      <x:c r="K1384" s="4"/>
      <x:c r="L1384" s="4"/>
      <x:c r="M1384" s="4"/>
      <x:c r="N1384" s="5"/>
    </x:row>
    <x:row r="1385" ht="24" customHeight="1">
      <x:c r="A1385" s="1" t="inlineStr">
        <x:is>
          <x:t xml:space="preserve">RESULT</x:t>
        </x:is>
      </x:c>
      <x:c r="B1385" s="1" t="inlineStr">
        <x:is>
          <x:t xml:space="preserve">Round2</x:t>
        </x:is>
      </x:c>
      <x:c r="C1385" s="1" t="inlineStr">
        <x:is>
          <x:t xml:space="preserve">Jsoup_32</x:t>
        </x:is>
      </x:c>
      <x:c r="D1385" s="1" t="inlineStr">
        <x:is>
          <x:t xml:space="preserve">INCONCLUSIVE</x:t>
        </x:is>
      </x:c>
      <x:c r="E1385" s="5">
        <x:v>0.7558</x:v>
      </x:c>
      <x:c r="F1385" s="4">
        <x:v>0</x:v>
      </x:c>
      <x:c r="G1385" s="4">
        <x:v>33359</x:v>
      </x:c>
      <x:c r="H1385" s="6">
        <x:v>1255.94</x:v>
      </x:c>
      <x:c r="I1385" s="16">
        <x:v>1</x:v>
      </x:c>
      <x:c r="J1385">
        <x:v>303</x:v>
      </x:c>
      <x:c r="K1385" s="4">
        <x:v>229</x:v>
      </x:c>
      <x:c r="L1385" s="4">
        <x:v>140</x:v>
      </x:c>
      <x:c r="M1385" s="4">
        <x:v>79</x:v>
      </x:c>
      <x:c r="N1385" s="5">
        <x:v>0.5643</x:v>
      </x:c>
    </x:row>
    <x:row r="1386" ht="24" customHeight="1">
      <x:c r="A1386" s="1" t="inlineStr">
        <x:is>
          <x:t xml:space="preserve">RESULT</x:t>
        </x:is>
      </x:c>
      <x:c r="B1386" s="1" t="inlineStr">
        <x:is>
          <x:t xml:space="preserve">Round2</x:t>
        </x:is>
      </x:c>
      <x:c r="C1386" s="1" t="inlineStr">
        <x:is>
          <x:t xml:space="preserve">Jsoup_33</x:t>
        </x:is>
      </x:c>
      <x:c r="D1386" s="1" t="inlineStr">
        <x:is>
          <x:t xml:space="preserve">INCONCLUSIVE</x:t>
        </x:is>
      </x:c>
      <x:c r="E1386" s="5">
        <x:v>0.47840000000000005</x:v>
      </x:c>
      <x:c r="F1386" s="4">
        <x:v>0</x:v>
      </x:c>
      <x:c r="G1386" s="4"/>
      <x:c r="H1386" s="6"/>
      <x:c r="I1386" s="16">
        <x:v>1</x:v>
      </x:c>
      <x:c r="J1386">
        <x:v>393</x:v>
      </x:c>
      <x:c r="K1386" s="4">
        <x:v>188</x:v>
      </x:c>
      <x:c r="L1386" s="4">
        <x:v>202</x:v>
      </x:c>
      <x:c r="M1386" s="4">
        <x:v>79</x:v>
      </x:c>
      <x:c r="N1386" s="5">
        <x:v>0.3911</x:v>
      </x:c>
    </x:row>
    <x:row r="1387" ht="24" customHeight="1">
      <x:c r="A1387" s="1" t="inlineStr">
        <x:is>
          <x:t xml:space="preserve">RESULT</x:t>
        </x:is>
      </x:c>
      <x:c r="B1387" s="1" t="inlineStr">
        <x:is>
          <x:t xml:space="preserve">Round2</x:t>
        </x:is>
      </x:c>
      <x:c r="C1387" s="1" t="inlineStr">
        <x:is>
          <x:t xml:space="preserve">Jsoup_34</x:t>
        </x:is>
      </x:c>
      <x:c r="D1387" s="1" t="inlineStr">
        <x:is>
          <x:t xml:space="preserve">INCONCLUSIVE</x:t>
        </x:is>
      </x:c>
      <x:c r="E1387" s="5">
        <x:v>0.9779000000000001</x:v>
      </x:c>
      <x:c r="F1387" s="4">
        <x:v>0</x:v>
      </x:c>
      <x:c r="G1387" s="4"/>
      <x:c r="H1387" s="6"/>
      <x:c r="I1387" s="16">
        <x:v>1</x:v>
      </x:c>
      <x:c r="J1387">
        <x:v>136</x:v>
      </x:c>
      <x:c r="K1387" s="4">
        <x:v>133</x:v>
      </x:c>
      <x:c r="L1387" s="4">
        <x:v>130</x:v>
      </x:c>
      <x:c r="M1387" s="4">
        <x:v>107</x:v>
      </x:c>
      <x:c r="N1387" s="5">
        <x:v>0.8231</x:v>
      </x:c>
    </x:row>
    <x:row r="1388" ht="24" customHeight="1">
      <x:c r="A1388" s="1" t="inlineStr">
        <x:is>
          <x:t xml:space="preserve">RESULT</x:t>
        </x:is>
      </x:c>
      <x:c r="B1388" s="1" t="inlineStr">
        <x:is>
          <x:t xml:space="preserve">Round2</x:t>
        </x:is>
      </x:c>
      <x:c r="C1388" s="1" t="inlineStr">
        <x:is>
          <x:t xml:space="preserve">Jsoup_35</x:t>
        </x:is>
      </x:c>
      <x:c r="D1388" s="1" t="inlineStr">
        <x:is>
          <x:t xml:space="preserve">NOT_AVAILABLE</x:t>
        </x:is>
      </x:c>
      <x:c r="E1388" s="5"/>
      <x:c r="F1388" s="4">
        <x:v>0</x:v>
      </x:c>
      <x:c r="G1388" s="4">
        <x:v>17797</x:v>
      </x:c>
      <x:c r="H1388" s="6">
        <x:v>52.03</x:v>
      </x:c>
      <x:c r="I1388" s="16">
        <x:v>1</x:v>
      </x:c>
      <x:c r="J1388"/>
      <x:c r="K1388" s="4"/>
      <x:c r="L1388" s="4"/>
      <x:c r="M1388" s="4"/>
      <x:c r="N1388" s="5"/>
    </x:row>
    <x:row r="1389" ht="24" customHeight="1">
      <x:c r="A1389" s="1" t="inlineStr">
        <x:is>
          <x:t xml:space="preserve">RESULT</x:t>
        </x:is>
      </x:c>
      <x:c r="B1389" s="1" t="inlineStr">
        <x:is>
          <x:t xml:space="preserve">Round2</x:t>
        </x:is>
      </x:c>
      <x:c r="C1389" s="1" t="inlineStr">
        <x:is>
          <x:t xml:space="preserve">Jsoup_36</x:t>
        </x:is>
      </x:c>
      <x:c r="D1389" s="1" t="inlineStr">
        <x:is>
          <x:t xml:space="preserve">INCONCLUSIVE</x:t>
        </x:is>
      </x:c>
      <x:c r="E1389" s="5">
        <x:v>0.8332999999999999</x:v>
      </x:c>
      <x:c r="F1389" s="4">
        <x:v>0</x:v>
      </x:c>
      <x:c r="G1389" s="4">
        <x:v>10566</x:v>
      </x:c>
      <x:c r="H1389" s="6">
        <x:v>65.12</x:v>
      </x:c>
      <x:c r="I1389" s="16">
        <x:v>1</x:v>
      </x:c>
      <x:c r="J1389">
        <x:v>60</x:v>
      </x:c>
      <x:c r="K1389" s="4">
        <x:v>50</x:v>
      </x:c>
      <x:c r="L1389" s="4">
        <x:v>38</x:v>
      </x:c>
      <x:c r="M1389" s="4">
        <x:v>29</x:v>
      </x:c>
      <x:c r="N1389" s="5">
        <x:v>0.7631999999999999</x:v>
      </x:c>
    </x:row>
    <x:row r="1390" ht="24" customHeight="1">
      <x:c r="A1390" s="1" t="inlineStr">
        <x:is>
          <x:t xml:space="preserve">RESULT</x:t>
        </x:is>
      </x:c>
      <x:c r="B1390" s="1" t="inlineStr">
        <x:is>
          <x:t xml:space="preserve">Round2</x:t>
        </x:is>
      </x:c>
      <x:c r="C1390" s="1" t="inlineStr">
        <x:is>
          <x:t xml:space="preserve">Jsoup_37</x:t>
        </x:is>
      </x:c>
      <x:c r="D1390" s="1" t="inlineStr">
        <x:is>
          <x:t xml:space="preserve">INCONCLUSIVE</x:t>
        </x:is>
      </x:c>
      <x:c r="E1390" s="5">
        <x:v>0.7883</x:v>
      </x:c>
      <x:c r="F1390" s="4">
        <x:v>0</x:v>
      </x:c>
      <x:c r="G1390" s="4">
        <x:v>10264</x:v>
      </x:c>
      <x:c r="H1390" s="6">
        <x:v>40.94</x:v>
      </x:c>
      <x:c r="I1390" s="16">
        <x:v>1</x:v>
      </x:c>
      <x:c r="J1390">
        <x:v>307</x:v>
      </x:c>
      <x:c r="K1390" s="4">
        <x:v>242</x:v>
      </x:c>
      <x:c r="L1390" s="4">
        <x:v>152</x:v>
      </x:c>
      <x:c r="M1390" s="4">
        <x:v>95</x:v>
      </x:c>
      <x:c r="N1390" s="5">
        <x:v>0.625</x:v>
      </x:c>
    </x:row>
    <x:row r="1391" ht="24" customHeight="1">
      <x:c r="A1391" s="1" t="inlineStr">
        <x:is>
          <x:t xml:space="preserve">RESULT</x:t>
        </x:is>
      </x:c>
      <x:c r="B1391" s="1" t="inlineStr">
        <x:is>
          <x:t xml:space="preserve">Round2</x:t>
        </x:is>
      </x:c>
      <x:c r="C1391" s="1" t="inlineStr">
        <x:is>
          <x:t xml:space="preserve">Jsoup_38</x:t>
        </x:is>
      </x:c>
      <x:c r="D1391" s="1" t="inlineStr">
        <x:is>
          <x:t xml:space="preserve">NOT_AVAILABLE</x:t>
        </x:is>
      </x:c>
      <x:c r="E1391" s="5"/>
      <x:c r="F1391" s="4">
        <x:v>0</x:v>
      </x:c>
      <x:c r="G1391" s="4">
        <x:v>53493</x:v>
      </x:c>
      <x:c r="H1391" s="6">
        <x:v>203.7</x:v>
      </x:c>
      <x:c r="I1391" s="16">
        <x:v>1</x:v>
      </x:c>
      <x:c r="J1391"/>
      <x:c r="K1391" s="4"/>
      <x:c r="L1391" s="4"/>
      <x:c r="M1391" s="4"/>
      <x:c r="N1391" s="5"/>
    </x:row>
    <x:row r="1392" ht="24" customHeight="1">
      <x:c r="A1392" s="1" t="inlineStr">
        <x:is>
          <x:t xml:space="preserve">RESULT</x:t>
        </x:is>
      </x:c>
      <x:c r="B1392" s="1" t="inlineStr">
        <x:is>
          <x:t xml:space="preserve">Round2</x:t>
        </x:is>
      </x:c>
      <x:c r="C1392" s="1" t="inlineStr">
        <x:is>
          <x:t xml:space="preserve">Jsoup_39</x:t>
        </x:is>
      </x:c>
      <x:c r="D1392" s="1" t="inlineStr">
        <x:is>
          <x:t xml:space="preserve">INCONCLUSIVE</x:t>
        </x:is>
      </x:c>
      <x:c r="E1392" s="5">
        <x:v>0.88</x:v>
      </x:c>
      <x:c r="F1392" s="4">
        <x:v>0</x:v>
      </x:c>
      <x:c r="G1392" s="4"/>
      <x:c r="H1392" s="6"/>
      <x:c r="I1392" s="16">
        <x:v>1</x:v>
      </x:c>
      <x:c r="J1392">
        <x:v>75</x:v>
      </x:c>
      <x:c r="K1392" s="4">
        <x:v>66</x:v>
      </x:c>
      <x:c r="L1392" s="4">
        <x:v>46</x:v>
      </x:c>
      <x:c r="M1392" s="4">
        <x:v>33</x:v>
      </x:c>
      <x:c r="N1392" s="5">
        <x:v>0.7173999999999999</x:v>
      </x:c>
    </x:row>
    <x:row r="1393" ht="24" customHeight="1">
      <x:c r="A1393" s="1" t="inlineStr">
        <x:is>
          <x:t xml:space="preserve">RESULT</x:t>
        </x:is>
      </x:c>
      <x:c r="B1393" s="1" t="inlineStr">
        <x:is>
          <x:t xml:space="preserve">Round2</x:t>
        </x:is>
      </x:c>
      <x:c r="C1393" s="1" t="inlineStr">
        <x:is>
          <x:t xml:space="preserve">Jsoup_4</x:t>
        </x:is>
      </x:c>
      <x:c r="D1393" s="1" t="inlineStr">
        <x:is>
          <x:t xml:space="preserve">INCONCLUSIVE</x:t>
        </x:is>
      </x:c>
      <x:c r="E1393" s="5"/>
      <x:c r="F1393" s="4">
        <x:v>0</x:v>
      </x:c>
      <x:c r="G1393" s="4">
        <x:v>38097</x:v>
      </x:c>
      <x:c r="H1393" s="6">
        <x:v>59.44</x:v>
      </x:c>
      <x:c r="I1393" s="16">
        <x:v>1</x:v>
      </x:c>
      <x:c r="J1393"/>
      <x:c r="K1393" s="4"/>
      <x:c r="L1393" s="4"/>
      <x:c r="M1393" s="4"/>
      <x:c r="N1393" s="5"/>
    </x:row>
    <x:row r="1394" ht="24" customHeight="1">
      <x:c r="A1394" s="1" t="inlineStr">
        <x:is>
          <x:t xml:space="preserve">RESULT</x:t>
        </x:is>
      </x:c>
      <x:c r="B1394" s="1" t="inlineStr">
        <x:is>
          <x:t xml:space="preserve">Round2</x:t>
        </x:is>
      </x:c>
      <x:c r="C1394" s="1" t="inlineStr">
        <x:is>
          <x:t xml:space="preserve">Jsoup_40</x:t>
        </x:is>
      </x:c>
      <x:c r="D1394" s="1" t="inlineStr">
        <x:is>
          <x:t xml:space="preserve">INCONCLUSIVE</x:t>
        </x:is>
      </x:c>
      <x:c r="E1394" s="5">
        <x:v>1.0</x:v>
      </x:c>
      <x:c r="F1394" s="4">
        <x:v>0</x:v>
      </x:c>
      <x:c r="G1394" s="4"/>
      <x:c r="H1394" s="6"/>
      <x:c r="I1394" s="16">
        <x:v>1</x:v>
      </x:c>
      <x:c r="J1394">
        <x:v>17</x:v>
      </x:c>
      <x:c r="K1394" s="4">
        <x:v>17</x:v>
      </x:c>
      <x:c r="L1394" s="4">
        <x:v>6</x:v>
      </x:c>
      <x:c r="M1394" s="4">
        <x:v>6</x:v>
      </x:c>
      <x:c r="N1394" s="5">
        <x:v>1.0</x:v>
      </x:c>
    </x:row>
    <x:row r="1395" ht="24" customHeight="1">
      <x:c r="A1395" s="1" t="inlineStr">
        <x:is>
          <x:t xml:space="preserve">RESULT</x:t>
        </x:is>
      </x:c>
      <x:c r="B1395" s="1" t="inlineStr">
        <x:is>
          <x:t xml:space="preserve">Round2</x:t>
        </x:is>
      </x:c>
      <x:c r="C1395" s="1" t="inlineStr">
        <x:is>
          <x:t xml:space="preserve">Jsoup_41</x:t>
        </x:is>
      </x:c>
      <x:c r="D1395" s="1" t="inlineStr">
        <x:is>
          <x:t xml:space="preserve">INCONCLUSIVE</x:t>
        </x:is>
      </x:c>
      <x:c r="E1395" s="5">
        <x:v>0.7761</x:v>
      </x:c>
      <x:c r="F1395" s="4">
        <x:v>0</x:v>
      </x:c>
      <x:c r="G1395" s="4">
        <x:v>18114</x:v>
      </x:c>
      <x:c r="H1395" s="6">
        <x:v>114.28</x:v>
      </x:c>
      <x:c r="I1395" s="16">
        <x:v>1</x:v>
      </x:c>
      <x:c r="J1395">
        <x:v>326</x:v>
      </x:c>
      <x:c r="K1395" s="4">
        <x:v>253</x:v>
      </x:c>
      <x:c r="L1395" s="4">
        <x:v>174</x:v>
      </x:c>
      <x:c r="M1395" s="4">
        <x:v>98</x:v>
      </x:c>
      <x:c r="N1395" s="5">
        <x:v>0.5632</x:v>
      </x:c>
    </x:row>
    <x:row r="1396" ht="24" customHeight="1">
      <x:c r="A1396" s="1" t="inlineStr">
        <x:is>
          <x:t xml:space="preserve">RESULT</x:t>
        </x:is>
      </x:c>
      <x:c r="B1396" s="1" t="inlineStr">
        <x:is>
          <x:t xml:space="preserve">Round2</x:t>
        </x:is>
      </x:c>
      <x:c r="C1396" s="1" t="inlineStr">
        <x:is>
          <x:t xml:space="preserve">Jsoup_42</x:t>
        </x:is>
      </x:c>
      <x:c r="D1396" s="1" t="inlineStr">
        <x:is>
          <x:t xml:space="preserve">NOT_AVAILABLE</x:t>
        </x:is>
      </x:c>
      <x:c r="E1396" s="5"/>
      <x:c r="F1396" s="4">
        <x:v>0</x:v>
      </x:c>
      <x:c r="G1396" s="4">
        <x:v>9280</x:v>
      </x:c>
      <x:c r="H1396" s="6">
        <x:v>66.13</x:v>
      </x:c>
      <x:c r="I1396" s="16">
        <x:v>1</x:v>
      </x:c>
      <x:c r="J1396"/>
      <x:c r="K1396" s="4"/>
      <x:c r="L1396" s="4"/>
      <x:c r="M1396" s="4"/>
      <x:c r="N1396" s="5"/>
    </x:row>
    <x:row r="1397" ht="24" customHeight="1">
      <x:c r="A1397" s="1" t="inlineStr">
        <x:is>
          <x:t xml:space="preserve">RESULT</x:t>
        </x:is>
      </x:c>
      <x:c r="B1397" s="1" t="inlineStr">
        <x:is>
          <x:t xml:space="preserve">Round2</x:t>
        </x:is>
      </x:c>
      <x:c r="C1397" s="1" t="inlineStr">
        <x:is>
          <x:t xml:space="preserve">Jsoup_43</x:t>
        </x:is>
      </x:c>
      <x:c r="D1397" s="1" t="inlineStr">
        <x:is>
          <x:t xml:space="preserve">NOT_AVAILABLE</x:t>
        </x:is>
      </x:c>
      <x:c r="E1397" s="5"/>
      <x:c r="F1397" s="4">
        <x:v>0</x:v>
      </x:c>
      <x:c r="G1397" s="4">
        <x:v>9273</x:v>
      </x:c>
      <x:c r="H1397" s="6">
        <x:v>31.6</x:v>
      </x:c>
      <x:c r="I1397" s="16">
        <x:v>1</x:v>
      </x:c>
      <x:c r="J1397"/>
      <x:c r="K1397" s="4"/>
      <x:c r="L1397" s="4"/>
      <x:c r="M1397" s="4"/>
      <x:c r="N1397" s="5"/>
    </x:row>
    <x:row r="1398" ht="24" customHeight="1">
      <x:c r="A1398" s="1" t="inlineStr">
        <x:is>
          <x:t xml:space="preserve">RESULT</x:t>
        </x:is>
      </x:c>
      <x:c r="B1398" s="1" t="inlineStr">
        <x:is>
          <x:t xml:space="preserve">Round2</x:t>
        </x:is>
      </x:c>
      <x:c r="C1398" s="1" t="inlineStr">
        <x:is>
          <x:t xml:space="preserve">Jsoup_44</x:t>
        </x:is>
      </x:c>
      <x:c r="D1398" s="1" t="inlineStr">
        <x:is>
          <x:t xml:space="preserve">NOT_AVAILABLE</x:t>
        </x:is>
      </x:c>
      <x:c r="E1398" s="5"/>
      <x:c r="F1398" s="4">
        <x:v>0</x:v>
      </x:c>
      <x:c r="G1398" s="4">
        <x:v>8996</x:v>
      </x:c>
      <x:c r="H1398" s="6">
        <x:v>38.86</x:v>
      </x:c>
      <x:c r="I1398" s="16">
        <x:v>1</x:v>
      </x:c>
      <x:c r="J1398"/>
      <x:c r="K1398" s="4"/>
      <x:c r="L1398" s="4"/>
      <x:c r="M1398" s="4"/>
      <x:c r="N1398" s="5"/>
    </x:row>
    <x:row r="1399" ht="24" customHeight="1">
      <x:c r="A1399" s="1" t="inlineStr">
        <x:is>
          <x:t xml:space="preserve">RESULT</x:t>
        </x:is>
      </x:c>
      <x:c r="B1399" s="1" t="inlineStr">
        <x:is>
          <x:t xml:space="preserve">Round2</x:t>
        </x:is>
      </x:c>
      <x:c r="C1399" s="1" t="inlineStr">
        <x:is>
          <x:t xml:space="preserve">Jsoup_45</x:t>
        </x:is>
      </x:c>
      <x:c r="D1399" s="1" t="inlineStr">
        <x:is>
          <x:t xml:space="preserve">NOT_AVAILABLE</x:t>
        </x:is>
      </x:c>
      <x:c r="E1399" s="5"/>
      <x:c r="F1399" s="4">
        <x:v>0</x:v>
      </x:c>
      <x:c r="G1399" s="4">
        <x:v>42014</x:v>
      </x:c>
      <x:c r="H1399" s="6">
        <x:v>170.48</x:v>
      </x:c>
      <x:c r="I1399" s="16">
        <x:v>1</x:v>
      </x:c>
      <x:c r="J1399"/>
      <x:c r="K1399" s="4"/>
      <x:c r="L1399" s="4"/>
      <x:c r="M1399" s="4"/>
      <x:c r="N1399" s="5"/>
    </x:row>
    <x:row r="1400" ht="24" customHeight="1">
      <x:c r="A1400" s="1" t="inlineStr">
        <x:is>
          <x:t xml:space="preserve">RESULT</x:t>
        </x:is>
      </x:c>
      <x:c r="B1400" s="1" t="inlineStr">
        <x:is>
          <x:t xml:space="preserve">Round2</x:t>
        </x:is>
      </x:c>
      <x:c r="C1400" s="1" t="inlineStr">
        <x:is>
          <x:t xml:space="preserve">Jsoup_46</x:t>
        </x:is>
      </x:c>
      <x:c r="D1400" s="1" t="inlineStr">
        <x:is>
          <x:t xml:space="preserve">INCONCLUSIVE</x:t>
        </x:is>
      </x:c>
      <x:c r="E1400" s="5">
        <x:v>0.7966</x:v>
      </x:c>
      <x:c r="F1400" s="4">
        <x:v>0</x:v>
      </x:c>
      <x:c r="G1400" s="4"/>
      <x:c r="H1400" s="6"/>
      <x:c r="I1400" s="16">
        <x:v>1</x:v>
      </x:c>
      <x:c r="J1400">
        <x:v>118</x:v>
      </x:c>
      <x:c r="K1400" s="4">
        <x:v>94</x:v>
      </x:c>
      <x:c r="L1400" s="4">
        <x:v>51</x:v>
      </x:c>
      <x:c r="M1400" s="4">
        <x:v>32</x:v>
      </x:c>
      <x:c r="N1400" s="5">
        <x:v>0.6275</x:v>
      </x:c>
    </x:row>
    <x:row r="1401" ht="24" customHeight="1">
      <x:c r="A1401" s="1" t="inlineStr">
        <x:is>
          <x:t xml:space="preserve">RESULT</x:t>
        </x:is>
      </x:c>
      <x:c r="B1401" s="1" t="inlineStr">
        <x:is>
          <x:t xml:space="preserve">Round2</x:t>
        </x:is>
      </x:c>
      <x:c r="C1401" s="1" t="inlineStr">
        <x:is>
          <x:t xml:space="preserve">Jsoup_47</x:t>
        </x:is>
      </x:c>
      <x:c r="D1401" s="1" t="inlineStr">
        <x:is>
          <x:t xml:space="preserve">NOT_REVEALING</x:t>
        </x:is>
      </x:c>
      <x:c r="E1401" s="5">
        <x:v>0.9661</x:v>
      </x:c>
      <x:c r="F1401" s="4">
        <x:v>0</x:v>
      </x:c>
      <x:c r="G1401" s="4">
        <x:v>21689</x:v>
      </x:c>
      <x:c r="H1401" s="6">
        <x:v>94.47</x:v>
      </x:c>
      <x:c r="I1401" s="16">
        <x:v>1</x:v>
      </x:c>
      <x:c r="J1401">
        <x:v>118</x:v>
      </x:c>
      <x:c r="K1401" s="4">
        <x:v>114</x:v>
      </x:c>
      <x:c r="L1401" s="4">
        <x:v>51</x:v>
      </x:c>
      <x:c r="M1401" s="4">
        <x:v>49</x:v>
      </x:c>
      <x:c r="N1401" s="5">
        <x:v>0.9608</x:v>
      </x:c>
    </x:row>
    <x:row r="1402" ht="24" customHeight="1">
      <x:c r="A1402" s="1" t="inlineStr">
        <x:is>
          <x:t xml:space="preserve">RESULT</x:t>
        </x:is>
      </x:c>
      <x:c r="B1402" s="1" t="inlineStr">
        <x:is>
          <x:t xml:space="preserve">Round2</x:t>
        </x:is>
      </x:c>
      <x:c r="C1402" s="1" t="inlineStr">
        <x:is>
          <x:t xml:space="preserve">Jsoup_48</x:t>
        </x:is>
      </x:c>
      <x:c r="D1402" s="1" t="inlineStr">
        <x:is>
          <x:t xml:space="preserve">NOT_AVAILABLE</x:t>
        </x:is>
      </x:c>
      <x:c r="E1402" s="5"/>
      <x:c r="F1402" s="4">
        <x:v>0</x:v>
      </x:c>
      <x:c r="G1402" s="4">
        <x:v>16706</x:v>
      </x:c>
      <x:c r="H1402" s="6">
        <x:v>74.9</x:v>
      </x:c>
      <x:c r="I1402" s="16">
        <x:v>1</x:v>
      </x:c>
      <x:c r="J1402"/>
      <x:c r="K1402" s="4"/>
      <x:c r="L1402" s="4"/>
      <x:c r="M1402" s="4"/>
      <x:c r="N1402" s="5"/>
    </x:row>
    <x:row r="1403" ht="24" customHeight="1">
      <x:c r="A1403" s="1" t="inlineStr">
        <x:is>
          <x:t xml:space="preserve">RESULT</x:t>
        </x:is>
      </x:c>
      <x:c r="B1403" s="1" t="inlineStr">
        <x:is>
          <x:t xml:space="preserve">Round2</x:t>
        </x:is>
      </x:c>
      <x:c r="C1403" s="1" t="inlineStr">
        <x:is>
          <x:t xml:space="preserve">Jsoup_49</x:t>
        </x:is>
      </x:c>
      <x:c r="D1403" s="1" t="inlineStr">
        <x:is>
          <x:t xml:space="preserve">NOT_AVAILABLE</x:t>
        </x:is>
      </x:c>
      <x:c r="E1403" s="5"/>
      <x:c r="F1403" s="4">
        <x:v>0</x:v>
      </x:c>
      <x:c r="G1403" s="4">
        <x:v>18519</x:v>
      </x:c>
      <x:c r="H1403" s="6">
        <x:v>104.4</x:v>
      </x:c>
      <x:c r="I1403" s="16">
        <x:v>1</x:v>
      </x:c>
      <x:c r="J1403"/>
      <x:c r="K1403" s="4"/>
      <x:c r="L1403" s="4"/>
      <x:c r="M1403" s="4"/>
      <x:c r="N1403" s="5"/>
    </x:row>
    <x:row r="1404" ht="24" customHeight="1">
      <x:c r="A1404" s="1" t="inlineStr">
        <x:is>
          <x:t xml:space="preserve">RESULT</x:t>
        </x:is>
      </x:c>
      <x:c r="B1404" s="1" t="inlineStr">
        <x:is>
          <x:t xml:space="preserve">Round2</x:t>
        </x:is>
      </x:c>
      <x:c r="C1404" s="1" t="inlineStr">
        <x:is>
          <x:t xml:space="preserve">Jsoup_5</x:t>
        </x:is>
      </x:c>
      <x:c r="D1404" s="1" t="inlineStr">
        <x:is>
          <x:t xml:space="preserve">NOT_REVEALING</x:t>
        </x:is>
      </x:c>
      <x:c r="E1404" s="5">
        <x:v>0.6453</x:v>
      </x:c>
      <x:c r="F1404" s="4">
        <x:v>0</x:v>
      </x:c>
      <x:c r="G1404" s="4"/>
      <x:c r="H1404" s="6"/>
      <x:c r="I1404" s="16">
        <x:v>1</x:v>
      </x:c>
      <x:c r="J1404">
        <x:v>172</x:v>
      </x:c>
      <x:c r="K1404" s="4">
        <x:v>111</x:v>
      </x:c>
      <x:c r="L1404" s="4">
        <x:v>92</x:v>
      </x:c>
      <x:c r="M1404" s="4">
        <x:v>45</x:v>
      </x:c>
      <x:c r="N1404" s="5">
        <x:v>0.4891</x:v>
      </x:c>
    </x:row>
    <x:row r="1405" ht="24" customHeight="1">
      <x:c r="A1405" s="1" t="inlineStr">
        <x:is>
          <x:t xml:space="preserve">RESULT</x:t>
        </x:is>
      </x:c>
      <x:c r="B1405" s="1" t="inlineStr">
        <x:is>
          <x:t xml:space="preserve">Round2</x:t>
        </x:is>
      </x:c>
      <x:c r="C1405" s="1" t="inlineStr">
        <x:is>
          <x:t xml:space="preserve">Jsoup_50</x:t>
        </x:is>
      </x:c>
      <x:c r="D1405" s="1" t="inlineStr">
        <x:is>
          <x:t xml:space="preserve">INCONCLUSIVE</x:t>
        </x:is>
      </x:c>
      <x:c r="E1405" s="5">
        <x:v>0.9667</x:v>
      </x:c>
      <x:c r="F1405" s="4">
        <x:v>0</x:v>
      </x:c>
      <x:c r="G1405" s="4">
        <x:v>20263</x:v>
      </x:c>
      <x:c r="H1405" s="6">
        <x:v>82.58</x:v>
      </x:c>
      <x:c r="I1405" s="16">
        <x:v>1</x:v>
      </x:c>
      <x:c r="J1405">
        <x:v>90</x:v>
      </x:c>
      <x:c r="K1405" s="4">
        <x:v>87</x:v>
      </x:c>
      <x:c r="L1405" s="4">
        <x:v>50</x:v>
      </x:c>
      <x:c r="M1405" s="4">
        <x:v>43</x:v>
      </x:c>
      <x:c r="N1405" s="5">
        <x:v>0.86</x:v>
      </x:c>
    </x:row>
    <x:row r="1406" ht="24" customHeight="1">
      <x:c r="A1406" s="1" t="inlineStr">
        <x:is>
          <x:t xml:space="preserve">RESULT</x:t>
        </x:is>
      </x:c>
      <x:c r="B1406" s="1" t="inlineStr">
        <x:is>
          <x:t xml:space="preserve">Round2</x:t>
        </x:is>
      </x:c>
      <x:c r="C1406" s="1" t="inlineStr">
        <x:is>
          <x:t xml:space="preserve">Jsoup_51</x:t>
        </x:is>
      </x:c>
      <x:c r="D1406" s="1" t="inlineStr">
        <x:is>
          <x:t xml:space="preserve">INCONCLUSIVE</x:t>
        </x:is>
      </x:c>
      <x:c r="E1406" s="5">
        <x:v>0.9641</x:v>
      </x:c>
      <x:c r="F1406" s="4">
        <x:v>0</x:v>
      </x:c>
      <x:c r="G1406" s="4"/>
      <x:c r="H1406" s="6"/>
      <x:c r="I1406" s="16">
        <x:v>1</x:v>
      </x:c>
      <x:c r="J1406">
        <x:v>195</x:v>
      </x:c>
      <x:c r="K1406" s="4">
        <x:v>188</x:v>
      </x:c>
      <x:c r="L1406" s="4">
        <x:v>186</x:v>
      </x:c>
      <x:c r="M1406" s="4">
        <x:v>149</x:v>
      </x:c>
      <x:c r="N1406" s="5">
        <x:v>0.8011</x:v>
      </x:c>
    </x:row>
    <x:row r="1407" ht="24" customHeight="1">
      <x:c r="A1407" s="1" t="inlineStr">
        <x:is>
          <x:t xml:space="preserve">RESULT</x:t>
        </x:is>
      </x:c>
      <x:c r="B1407" s="1" t="inlineStr">
        <x:is>
          <x:t xml:space="preserve">Round2</x:t>
        </x:is>
      </x:c>
      <x:c r="C1407" s="1" t="inlineStr">
        <x:is>
          <x:t xml:space="preserve">Jsoup_52</x:t>
        </x:is>
      </x:c>
      <x:c r="D1407" s="1" t="inlineStr">
        <x:is>
          <x:t xml:space="preserve">NOT_AVAILABLE</x:t>
        </x:is>
      </x:c>
      <x:c r="E1407" s="5"/>
      <x:c r="F1407" s="4">
        <x:v>0</x:v>
      </x:c>
      <x:c r="G1407" s="4">
        <x:v>29996</x:v>
      </x:c>
      <x:c r="H1407" s="6">
        <x:v>196.23</x:v>
      </x:c>
      <x:c r="I1407" s="16">
        <x:v>1</x:v>
      </x:c>
      <x:c r="J1407"/>
      <x:c r="K1407" s="4"/>
      <x:c r="L1407" s="4"/>
      <x:c r="M1407" s="4"/>
      <x:c r="N1407" s="5"/>
    </x:row>
    <x:row r="1408" ht="24" customHeight="1">
      <x:c r="A1408" s="1" t="inlineStr">
        <x:is>
          <x:t xml:space="preserve">RESULT</x:t>
        </x:is>
      </x:c>
      <x:c r="B1408" s="1" t="inlineStr">
        <x:is>
          <x:t xml:space="preserve">Round2</x:t>
        </x:is>
      </x:c>
      <x:c r="C1408" s="1" t="inlineStr">
        <x:is>
          <x:t xml:space="preserve">Jsoup_53</x:t>
        </x:is>
      </x:c>
      <x:c r="D1408" s="1" t="inlineStr">
        <x:is>
          <x:t xml:space="preserve">INCONCLUSIVE</x:t>
        </x:is>
      </x:c>
      <x:c r="E1408" s="5">
        <x:v>0.9</x:v>
      </x:c>
      <x:c r="F1408" s="4">
        <x:v>0</x:v>
      </x:c>
      <x:c r="G1408" s="4"/>
      <x:c r="H1408" s="6"/>
      <x:c r="I1408" s="16">
        <x:v>1</x:v>
      </x:c>
      <x:c r="J1408">
        <x:v>130</x:v>
      </x:c>
      <x:c r="K1408" s="4">
        <x:v>117</x:v>
      </x:c>
      <x:c r="L1408" s="4">
        <x:v>108</x:v>
      </x:c>
      <x:c r="M1408" s="4">
        <x:v>88</x:v>
      </x:c>
      <x:c r="N1408" s="5">
        <x:v>0.8148000000000001</x:v>
      </x:c>
    </x:row>
    <x:row r="1409" ht="24" customHeight="1">
      <x:c r="A1409" s="1" t="inlineStr">
        <x:is>
          <x:t xml:space="preserve">RESULT</x:t>
        </x:is>
      </x:c>
      <x:c r="B1409" s="1" t="inlineStr">
        <x:is>
          <x:t xml:space="preserve">Round2</x:t>
        </x:is>
      </x:c>
      <x:c r="C1409" s="1" t="inlineStr">
        <x:is>
          <x:t xml:space="preserve">Jsoup_54</x:t>
        </x:is>
      </x:c>
      <x:c r="D1409" s="1" t="inlineStr">
        <x:is>
          <x:t xml:space="preserve">NOT_AVAILABLE</x:t>
        </x:is>
      </x:c>
      <x:c r="E1409" s="5"/>
      <x:c r="F1409" s="4">
        <x:v>0</x:v>
      </x:c>
      <x:c r="G1409" s="4">
        <x:v>9219</x:v>
      </x:c>
      <x:c r="H1409" s="6">
        <x:v>59.92</x:v>
      </x:c>
      <x:c r="I1409" s="16">
        <x:v>1</x:v>
      </x:c>
      <x:c r="J1409"/>
      <x:c r="K1409" s="4"/>
      <x:c r="L1409" s="4"/>
      <x:c r="M1409" s="4"/>
      <x:c r="N1409" s="5"/>
    </x:row>
    <x:row r="1410" ht="24" customHeight="1">
      <x:c r="A1410" s="1" t="inlineStr">
        <x:is>
          <x:t xml:space="preserve">RESULT</x:t>
        </x:is>
      </x:c>
      <x:c r="B1410" s="1" t="inlineStr">
        <x:is>
          <x:t xml:space="preserve">Round2</x:t>
        </x:is>
      </x:c>
      <x:c r="C1410" s="1" t="inlineStr">
        <x:is>
          <x:t xml:space="preserve">Jsoup_55</x:t>
        </x:is>
      </x:c>
      <x:c r="D1410" s="1" t="inlineStr">
        <x:is>
          <x:t xml:space="preserve">NOT_AVAILABLE</x:t>
        </x:is>
      </x:c>
      <x:c r="E1410" s="5"/>
      <x:c r="F1410" s="4">
        <x:v>0</x:v>
      </x:c>
      <x:c r="G1410" s="4">
        <x:v>40310</x:v>
      </x:c>
      <x:c r="H1410" s="6">
        <x:v>152.56</x:v>
      </x:c>
      <x:c r="I1410" s="16">
        <x:v>1</x:v>
      </x:c>
      <x:c r="J1410"/>
      <x:c r="K1410" s="4"/>
      <x:c r="L1410" s="4"/>
      <x:c r="M1410" s="4"/>
      <x:c r="N1410" s="5"/>
    </x:row>
    <x:row r="1411" ht="24" customHeight="1">
      <x:c r="A1411" s="1" t="inlineStr">
        <x:is>
          <x:t xml:space="preserve">RESULT</x:t>
        </x:is>
      </x:c>
      <x:c r="B1411" s="1" t="inlineStr">
        <x:is>
          <x:t xml:space="preserve">Round2</x:t>
        </x:is>
      </x:c>
      <x:c r="C1411" s="1" t="inlineStr">
        <x:is>
          <x:t xml:space="preserve">Jsoup_56</x:t>
        </x:is>
      </x:c>
      <x:c r="D1411" s="1" t="inlineStr">
        <x:is>
          <x:t xml:space="preserve">NOT_AVAILABLE</x:t>
        </x:is>
      </x:c>
      <x:c r="E1411" s="5"/>
      <x:c r="F1411" s="4">
        <x:v>0</x:v>
      </x:c>
      <x:c r="G1411" s="4">
        <x:v>111148</x:v>
      </x:c>
      <x:c r="H1411" s="6">
        <x:v>449.36</x:v>
      </x:c>
      <x:c r="I1411" s="16">
        <x:v>1</x:v>
      </x:c>
      <x:c r="J1411"/>
      <x:c r="K1411" s="4"/>
      <x:c r="L1411" s="4"/>
      <x:c r="M1411" s="4"/>
      <x:c r="N1411" s="5"/>
    </x:row>
    <x:row r="1412" ht="24" customHeight="1">
      <x:c r="A1412" s="1" t="inlineStr">
        <x:is>
          <x:t xml:space="preserve">RESULT</x:t>
        </x:is>
      </x:c>
      <x:c r="B1412" s="1" t="inlineStr">
        <x:is>
          <x:t xml:space="preserve">Round2</x:t>
        </x:is>
      </x:c>
      <x:c r="C1412" s="1" t="inlineStr">
        <x:is>
          <x:t xml:space="preserve">Jsoup_57</x:t>
        </x:is>
      </x:c>
      <x:c r="D1412" s="1" t="inlineStr">
        <x:is>
          <x:t xml:space="preserve">NOT_REVEALING</x:t>
        </x:is>
      </x:c>
      <x:c r="E1412" s="5">
        <x:v>0.9449</x:v>
      </x:c>
      <x:c r="F1412" s="4">
        <x:v>0</x:v>
      </x:c>
      <x:c r="G1412" s="4"/>
      <x:c r="H1412" s="6"/>
      <x:c r="I1412" s="16">
        <x:v>1</x:v>
      </x:c>
      <x:c r="J1412">
        <x:v>127</x:v>
      </x:c>
      <x:c r="K1412" s="4">
        <x:v>120</x:v>
      </x:c>
      <x:c r="L1412" s="4">
        <x:v>76</x:v>
      </x:c>
      <x:c r="M1412" s="4">
        <x:v>71</x:v>
      </x:c>
      <x:c r="N1412" s="5">
        <x:v>0.9342</x:v>
      </x:c>
    </x:row>
    <x:row r="1413" ht="24" customHeight="1">
      <x:c r="A1413" s="1" t="inlineStr">
        <x:is>
          <x:t xml:space="preserve">RESULT</x:t>
        </x:is>
      </x:c>
      <x:c r="B1413" s="1" t="inlineStr">
        <x:is>
          <x:t xml:space="preserve">Round2</x:t>
        </x:is>
      </x:c>
      <x:c r="C1413" s="1" t="inlineStr">
        <x:is>
          <x:t xml:space="preserve">Jsoup_58</x:t>
        </x:is>
      </x:c>
      <x:c r="D1413" s="1" t="inlineStr">
        <x:is>
          <x:t xml:space="preserve">INCONCLUSIVE</x:t>
        </x:is>
      </x:c>
      <x:c r="E1413" s="5">
        <x:v>0.9684999999999999</x:v>
      </x:c>
      <x:c r="F1413" s="4">
        <x:v>0</x:v>
      </x:c>
      <x:c r="G1413" s="4"/>
      <x:c r="H1413" s="6"/>
      <x:c r="I1413" s="16">
        <x:v>1</x:v>
      </x:c>
      <x:c r="J1413">
        <x:v>127</x:v>
      </x:c>
      <x:c r="K1413" s="4">
        <x:v>123</x:v>
      </x:c>
      <x:c r="L1413" s="4">
        <x:v>32</x:v>
      </x:c>
      <x:c r="M1413" s="4">
        <x:v>32</x:v>
      </x:c>
      <x:c r="N1413" s="5">
        <x:v>1.0</x:v>
      </x:c>
    </x:row>
    <x:row r="1414" ht="24" customHeight="1">
      <x:c r="A1414" s="1" t="inlineStr">
        <x:is>
          <x:t xml:space="preserve">RESULT</x:t>
        </x:is>
      </x:c>
      <x:c r="B1414" s="1" t="inlineStr">
        <x:is>
          <x:t xml:space="preserve">Round2</x:t>
        </x:is>
      </x:c>
      <x:c r="C1414" s="1" t="inlineStr">
        <x:is>
          <x:t xml:space="preserve">Jsoup_59</x:t>
        </x:is>
      </x:c>
      <x:c r="D1414" s="1" t="inlineStr">
        <x:is>
          <x:t xml:space="preserve">NOT_REVEALING</x:t>
        </x:is>
      </x:c>
      <x:c r="E1414" s="5">
        <x:v>0.9875</x:v>
      </x:c>
      <x:c r="F1414" s="4">
        <x:v>0</x:v>
      </x:c>
      <x:c r="G1414" s="4">
        <x:v>30945</x:v>
      </x:c>
      <x:c r="H1414" s="6">
        <x:v>139.37</x:v>
      </x:c>
      <x:c r="I1414" s="16">
        <x:v>1</x:v>
      </x:c>
      <x:c r="J1414">
        <x:v>160</x:v>
      </x:c>
      <x:c r="K1414" s="4">
        <x:v>158</x:v>
      </x:c>
      <x:c r="L1414" s="4">
        <x:v>44</x:v>
      </x:c>
      <x:c r="M1414" s="4">
        <x:v>41</x:v>
      </x:c>
      <x:c r="N1414" s="5">
        <x:v>0.9318000000000001</x:v>
      </x:c>
    </x:row>
    <x:row r="1415" ht="24" customHeight="1">
      <x:c r="A1415" s="1" t="inlineStr">
        <x:is>
          <x:t xml:space="preserve">RESULT</x:t>
        </x:is>
      </x:c>
      <x:c r="B1415" s="1" t="inlineStr">
        <x:is>
          <x:t xml:space="preserve">Round2</x:t>
        </x:is>
      </x:c>
      <x:c r="C1415" s="1" t="inlineStr">
        <x:is>
          <x:t xml:space="preserve">Jsoup_6</x:t>
        </x:is>
      </x:c>
      <x:c r="D1415" s="1" t="inlineStr">
        <x:is>
          <x:t xml:space="preserve">NOT_REVEALING</x:t>
        </x:is>
      </x:c>
      <x:c r="E1415" s="5"/>
      <x:c r="F1415" s="4">
        <x:v>0</x:v>
      </x:c>
      <x:c r="G1415" s="4">
        <x:v>31526</x:v>
      </x:c>
      <x:c r="H1415" s="6">
        <x:v>35.23</x:v>
      </x:c>
      <x:c r="I1415" s="16">
        <x:v>1</x:v>
      </x:c>
      <x:c r="J1415"/>
      <x:c r="K1415" s="4"/>
      <x:c r="L1415" s="4"/>
      <x:c r="M1415" s="4"/>
      <x:c r="N1415" s="5"/>
    </x:row>
    <x:row r="1416" ht="24" customHeight="1">
      <x:c r="A1416" s="1" t="inlineStr">
        <x:is>
          <x:t xml:space="preserve">RESULT</x:t>
        </x:is>
      </x:c>
      <x:c r="B1416" s="1" t="inlineStr">
        <x:is>
          <x:t xml:space="preserve">Round2</x:t>
        </x:is>
      </x:c>
      <x:c r="C1416" s="1" t="inlineStr">
        <x:is>
          <x:t xml:space="preserve">Jsoup_60</x:t>
        </x:is>
      </x:c>
      <x:c r="D1416" s="1" t="inlineStr">
        <x:is>
          <x:t xml:space="preserve">INCONCLUSIVE</x:t>
        </x:is>
      </x:c>
      <x:c r="E1416" s="5">
        <x:v>0.7615999999999999</x:v>
      </x:c>
      <x:c r="F1416" s="4">
        <x:v>0</x:v>
      </x:c>
      <x:c r="G1416" s="4">
        <x:v>19534</x:v>
      </x:c>
      <x:c r="H1416" s="6">
        <x:v>88.71</x:v>
      </x:c>
      <x:c r="I1416" s="16">
        <x:v>1</x:v>
      </x:c>
      <x:c r="J1416">
        <x:v>365</x:v>
      </x:c>
      <x:c r="K1416" s="4">
        <x:v>278</x:v>
      </x:c>
      <x:c r="L1416" s="4">
        <x:v>258</x:v>
      </x:c>
      <x:c r="M1416" s="4">
        <x:v>182</x:v>
      </x:c>
      <x:c r="N1416" s="5">
        <x:v>0.7054</x:v>
      </x:c>
    </x:row>
    <x:row r="1417" ht="24" customHeight="1">
      <x:c r="A1417" s="1" t="inlineStr">
        <x:is>
          <x:t xml:space="preserve">RESULT</x:t>
        </x:is>
      </x:c>
      <x:c r="B1417" s="1" t="inlineStr">
        <x:is>
          <x:t xml:space="preserve">Round2</x:t>
        </x:is>
      </x:c>
      <x:c r="C1417" s="1" t="inlineStr">
        <x:is>
          <x:t xml:space="preserve">Jsoup_61</x:t>
        </x:is>
      </x:c>
      <x:c r="D1417" s="1" t="inlineStr">
        <x:is>
          <x:t xml:space="preserve">NOT_AVAILABLE</x:t>
        </x:is>
      </x:c>
      <x:c r="E1417" s="5"/>
      <x:c r="F1417" s="4">
        <x:v>0</x:v>
      </x:c>
      <x:c r="G1417" s="4">
        <x:v>40343</x:v>
      </x:c>
      <x:c r="H1417" s="6">
        <x:v>174.37</x:v>
      </x:c>
      <x:c r="I1417" s="16">
        <x:v>1</x:v>
      </x:c>
      <x:c r="J1417"/>
      <x:c r="K1417" s="4"/>
      <x:c r="L1417" s="4"/>
      <x:c r="M1417" s="4"/>
      <x:c r="N1417" s="5"/>
    </x:row>
    <x:row r="1418" ht="24" customHeight="1">
      <x:c r="A1418" s="1" t="inlineStr">
        <x:is>
          <x:t xml:space="preserve">RESULT</x:t>
        </x:is>
      </x:c>
      <x:c r="B1418" s="1" t="inlineStr">
        <x:is>
          <x:t xml:space="preserve">Round2</x:t>
        </x:is>
      </x:c>
      <x:c r="C1418" s="1" t="inlineStr">
        <x:is>
          <x:t xml:space="preserve">Jsoup_62</x:t>
        </x:is>
      </x:c>
      <x:c r="D1418" s="1" t="inlineStr">
        <x:is>
          <x:t xml:space="preserve">NOT_AVAILABLE</x:t>
        </x:is>
      </x:c>
      <x:c r="E1418" s="5"/>
      <x:c r="F1418" s="4">
        <x:v>0</x:v>
      </x:c>
      <x:c r="G1418" s="4">
        <x:v>27854</x:v>
      </x:c>
      <x:c r="H1418" s="6">
        <x:v>116.47</x:v>
      </x:c>
      <x:c r="I1418" s="16">
        <x:v>1</x:v>
      </x:c>
      <x:c r="J1418"/>
      <x:c r="K1418" s="4"/>
      <x:c r="L1418" s="4"/>
      <x:c r="M1418" s="4"/>
      <x:c r="N1418" s="5"/>
    </x:row>
    <x:row r="1419" ht="24" customHeight="1">
      <x:c r="A1419" s="1" t="inlineStr">
        <x:is>
          <x:t xml:space="preserve">RESULT</x:t>
        </x:is>
      </x:c>
      <x:c r="B1419" s="1" t="inlineStr">
        <x:is>
          <x:t xml:space="preserve">Round2</x:t>
        </x:is>
      </x:c>
      <x:c r="C1419" s="1" t="inlineStr">
        <x:is>
          <x:t xml:space="preserve">Jsoup_63</x:t>
        </x:is>
      </x:c>
      <x:c r="D1419" s="1" t="inlineStr">
        <x:is>
          <x:t xml:space="preserve">NOT_AVAILABLE</x:t>
        </x:is>
      </x:c>
      <x:c r="E1419" s="5"/>
      <x:c r="F1419" s="4">
        <x:v>0</x:v>
      </x:c>
      <x:c r="G1419" s="4">
        <x:v>69433</x:v>
      </x:c>
      <x:c r="H1419" s="6">
        <x:v>290.85</x:v>
      </x:c>
      <x:c r="I1419" s="16">
        <x:v>1</x:v>
      </x:c>
      <x:c r="J1419"/>
      <x:c r="K1419" s="4"/>
      <x:c r="L1419" s="4"/>
      <x:c r="M1419" s="4"/>
      <x:c r="N1419" s="5"/>
    </x:row>
    <x:row r="1420" ht="24" customHeight="1">
      <x:c r="A1420" s="1" t="inlineStr">
        <x:is>
          <x:t xml:space="preserve">RESULT</x:t>
        </x:is>
      </x:c>
      <x:c r="B1420" s="1" t="inlineStr">
        <x:is>
          <x:t xml:space="preserve">Round2</x:t>
        </x:is>
      </x:c>
      <x:c r="C1420" s="1" t="inlineStr">
        <x:is>
          <x:t xml:space="preserve">Jsoup_64</x:t>
        </x:is>
      </x:c>
      <x:c r="D1420" s="1" t="inlineStr">
        <x:is>
          <x:t xml:space="preserve">NOT_AVAILABLE</x:t>
        </x:is>
      </x:c>
      <x:c r="E1420" s="5"/>
      <x:c r="F1420" s="4">
        <x:v>0</x:v>
      </x:c>
      <x:c r="G1420" s="4">
        <x:v>22773</x:v>
      </x:c>
      <x:c r="H1420" s="6">
        <x:v>88.49</x:v>
      </x:c>
      <x:c r="I1420" s="16">
        <x:v>1</x:v>
      </x:c>
      <x:c r="J1420"/>
      <x:c r="K1420" s="4"/>
      <x:c r="L1420" s="4"/>
      <x:c r="M1420" s="4"/>
      <x:c r="N1420" s="5"/>
    </x:row>
    <x:row r="1421" ht="24" customHeight="1">
      <x:c r="A1421" s="1" t="inlineStr">
        <x:is>
          <x:t xml:space="preserve">RESULT</x:t>
        </x:is>
      </x:c>
      <x:c r="B1421" s="1" t="inlineStr">
        <x:is>
          <x:t xml:space="preserve">Round2</x:t>
        </x:is>
      </x:c>
      <x:c r="C1421" s="1" t="inlineStr">
        <x:is>
          <x:t xml:space="preserve">Jsoup_65</x:t>
        </x:is>
      </x:c>
      <x:c r="D1421" s="1" t="inlineStr">
        <x:is>
          <x:t xml:space="preserve">NOT_AVAILABLE</x:t>
        </x:is>
      </x:c>
      <x:c r="E1421" s="5"/>
      <x:c r="F1421" s="4">
        <x:v>0</x:v>
      </x:c>
      <x:c r="G1421" s="4">
        <x:v>34979</x:v>
      </x:c>
      <x:c r="H1421" s="6">
        <x:v>147.19</x:v>
      </x:c>
      <x:c r="I1421" s="16">
        <x:v>1</x:v>
      </x:c>
      <x:c r="J1421"/>
      <x:c r="K1421" s="4"/>
      <x:c r="L1421" s="4"/>
      <x:c r="M1421" s="4"/>
      <x:c r="N1421" s="5"/>
    </x:row>
    <x:row r="1422" ht="24" customHeight="1">
      <x:c r="A1422" s="1" t="inlineStr">
        <x:is>
          <x:t xml:space="preserve">RESULT</x:t>
        </x:is>
      </x:c>
      <x:c r="B1422" s="1" t="inlineStr">
        <x:is>
          <x:t xml:space="preserve">Round2</x:t>
        </x:is>
      </x:c>
      <x:c r="C1422" s="1" t="inlineStr">
        <x:is>
          <x:t xml:space="preserve">Jsoup_66</x:t>
        </x:is>
      </x:c>
      <x:c r="D1422" s="1" t="inlineStr">
        <x:is>
          <x:t xml:space="preserve">NOT_AVAILABLE</x:t>
        </x:is>
      </x:c>
      <x:c r="E1422" s="5"/>
      <x:c r="F1422" s="4">
        <x:v>0</x:v>
      </x:c>
      <x:c r="G1422" s="4">
        <x:v>11937</x:v>
      </x:c>
      <x:c r="H1422" s="6">
        <x:v>41.21</x:v>
      </x:c>
      <x:c r="I1422" s="16">
        <x:v>1</x:v>
      </x:c>
      <x:c r="J1422"/>
      <x:c r="K1422" s="4"/>
      <x:c r="L1422" s="4"/>
      <x:c r="M1422" s="4"/>
      <x:c r="N1422" s="5"/>
    </x:row>
    <x:row r="1423" ht="24" customHeight="1">
      <x:c r="A1423" s="1" t="inlineStr">
        <x:is>
          <x:t xml:space="preserve">RESULT</x:t>
        </x:is>
      </x:c>
      <x:c r="B1423" s="1" t="inlineStr">
        <x:is>
          <x:t xml:space="preserve">Round2</x:t>
        </x:is>
      </x:c>
      <x:c r="C1423" s="1" t="inlineStr">
        <x:is>
          <x:t xml:space="preserve">Jsoup_67</x:t>
        </x:is>
      </x:c>
      <x:c r="D1423" s="1" t="inlineStr">
        <x:is>
          <x:t xml:space="preserve">INCONCLUSIVE</x:t>
        </x:is>
      </x:c>
      <x:c r="E1423" s="5">
        <x:v>0.769</x:v>
      </x:c>
      <x:c r="F1423" s="4">
        <x:v>0</x:v>
      </x:c>
      <x:c r="G1423" s="4">
        <x:v>64668</x:v>
      </x:c>
      <x:c r="H1423" s="6">
        <x:v>293.14</x:v>
      </x:c>
      <x:c r="I1423" s="16">
        <x:v>1</x:v>
      </x:c>
      <x:c r="J1423">
        <x:v>381</x:v>
      </x:c>
      <x:c r="K1423" s="4">
        <x:v>293</x:v>
      </x:c>
      <x:c r="L1423" s="4">
        <x:v>200</x:v>
      </x:c>
      <x:c r="M1423" s="4">
        <x:v>118</x:v>
      </x:c>
      <x:c r="N1423" s="5">
        <x:v>0.59</x:v>
      </x:c>
    </x:row>
    <x:row r="1424" ht="24" customHeight="1">
      <x:c r="A1424" s="1" t="inlineStr">
        <x:is>
          <x:t xml:space="preserve">RESULT</x:t>
        </x:is>
      </x:c>
      <x:c r="B1424" s="1" t="inlineStr">
        <x:is>
          <x:t xml:space="preserve">Round2</x:t>
        </x:is>
      </x:c>
      <x:c r="C1424" s="1" t="inlineStr">
        <x:is>
          <x:t xml:space="preserve">Jsoup_68</x:t>
        </x:is>
      </x:c>
      <x:c r="D1424" s="1" t="inlineStr">
        <x:is>
          <x:t xml:space="preserve">NOT_AVAILABLE</x:t>
        </x:is>
      </x:c>
      <x:c r="E1424" s="5"/>
      <x:c r="F1424" s="4">
        <x:v>0</x:v>
      </x:c>
      <x:c r="G1424" s="4">
        <x:v>45094</x:v>
      </x:c>
      <x:c r="H1424" s="6">
        <x:v>195.72</x:v>
      </x:c>
      <x:c r="I1424" s="16">
        <x:v>1</x:v>
      </x:c>
      <x:c r="J1424"/>
      <x:c r="K1424" s="4"/>
      <x:c r="L1424" s="4"/>
      <x:c r="M1424" s="4"/>
      <x:c r="N1424" s="5"/>
    </x:row>
    <x:row r="1425" ht="24" customHeight="1">
      <x:c r="A1425" s="1" t="inlineStr">
        <x:is>
          <x:t xml:space="preserve">RESULT</x:t>
        </x:is>
      </x:c>
      <x:c r="B1425" s="1" t="inlineStr">
        <x:is>
          <x:t xml:space="preserve">Round2</x:t>
        </x:is>
      </x:c>
      <x:c r="C1425" s="1" t="inlineStr">
        <x:is>
          <x:t xml:space="preserve">Jsoup_69</x:t>
        </x:is>
      </x:c>
      <x:c r="D1425" s="1" t="inlineStr">
        <x:is>
          <x:t xml:space="preserve">INCONCLUSIVE</x:t>
        </x:is>
      </x:c>
      <x:c r="E1425" s="5">
        <x:v>0.9211</x:v>
      </x:c>
      <x:c r="F1425" s="4">
        <x:v>0</x:v>
      </x:c>
      <x:c r="G1425" s="4"/>
      <x:c r="H1425" s="6"/>
      <x:c r="I1425" s="16">
        <x:v>1</x:v>
      </x:c>
      <x:c r="J1425">
        <x:v>38</x:v>
      </x:c>
      <x:c r="K1425" s="4">
        <x:v>35</x:v>
      </x:c>
      <x:c r="L1425" s="4">
        <x:v>28</x:v>
      </x:c>
      <x:c r="M1425" s="4">
        <x:v>24</x:v>
      </x:c>
      <x:c r="N1425" s="5">
        <x:v>0.8571</x:v>
      </x:c>
    </x:row>
    <x:row r="1426" ht="24" customHeight="1">
      <x:c r="A1426" s="1" t="inlineStr">
        <x:is>
          <x:t xml:space="preserve">RESULT</x:t>
        </x:is>
      </x:c>
      <x:c r="B1426" s="1" t="inlineStr">
        <x:is>
          <x:t xml:space="preserve">Round2</x:t>
        </x:is>
      </x:c>
      <x:c r="C1426" s="1" t="inlineStr">
        <x:is>
          <x:t xml:space="preserve">Jsoup_7</x:t>
        </x:is>
      </x:c>
      <x:c r="D1426" s="1" t="inlineStr">
        <x:is>
          <x:t xml:space="preserve">NOT_REVEALING</x:t>
        </x:is>
      </x:c>
      <x:c r="E1426" s="5">
        <x:v>0.9875</x:v>
      </x:c>
      <x:c r="F1426" s="4">
        <x:v>0</x:v>
      </x:c>
      <x:c r="G1426" s="4">
        <x:v>27207</x:v>
      </x:c>
      <x:c r="H1426" s="6">
        <x:v>122.52</x:v>
      </x:c>
      <x:c r="I1426" s="16">
        <x:v>1</x:v>
      </x:c>
      <x:c r="J1426">
        <x:v>80</x:v>
      </x:c>
      <x:c r="K1426" s="4">
        <x:v>79</x:v>
      </x:c>
      <x:c r="L1426" s="4">
        <x:v>26</x:v>
      </x:c>
      <x:c r="M1426" s="4">
        <x:v>26</x:v>
      </x:c>
      <x:c r="N1426" s="5">
        <x:v>1.0</x:v>
      </x:c>
    </x:row>
    <x:row r="1427" ht="24" customHeight="1">
      <x:c r="A1427" s="1" t="inlineStr">
        <x:is>
          <x:t xml:space="preserve">RESULT</x:t>
        </x:is>
      </x:c>
      <x:c r="B1427" s="1" t="inlineStr">
        <x:is>
          <x:t xml:space="preserve">Round2</x:t>
        </x:is>
      </x:c>
      <x:c r="C1427" s="1" t="inlineStr">
        <x:is>
          <x:t xml:space="preserve">Jsoup_70</x:t>
        </x:is>
      </x:c>
      <x:c r="D1427" s="1" t="inlineStr">
        <x:is>
          <x:t xml:space="preserve">NOT_AVAILABLE</x:t>
        </x:is>
      </x:c>
      <x:c r="E1427" s="5"/>
      <x:c r="F1427" s="4">
        <x:v>0</x:v>
      </x:c>
      <x:c r="G1427" s="4">
        <x:v>10960</x:v>
      </x:c>
      <x:c r="H1427" s="6">
        <x:v>32.96</x:v>
      </x:c>
      <x:c r="I1427" s="16">
        <x:v>1</x:v>
      </x:c>
      <x:c r="J1427"/>
      <x:c r="K1427" s="4"/>
      <x:c r="L1427" s="4"/>
      <x:c r="M1427" s="4"/>
      <x:c r="N1427" s="5"/>
    </x:row>
    <x:row r="1428" ht="24" customHeight="1">
      <x:c r="A1428" s="1" t="inlineStr">
        <x:is>
          <x:t xml:space="preserve">RESULT</x:t>
        </x:is>
      </x:c>
      <x:c r="B1428" s="1" t="inlineStr">
        <x:is>
          <x:t xml:space="preserve">Round2</x:t>
        </x:is>
      </x:c>
      <x:c r="C1428" s="1" t="inlineStr">
        <x:is>
          <x:t xml:space="preserve">Jsoup_71</x:t>
        </x:is>
      </x:c>
      <x:c r="D1428" s="1" t="inlineStr">
        <x:is>
          <x:t xml:space="preserve">INCONCLUSIVE</x:t>
        </x:is>
      </x:c>
      <x:c r="E1428" s="5">
        <x:v>0.7070000000000001</x:v>
      </x:c>
      <x:c r="F1428" s="4">
        <x:v>0</x:v>
      </x:c>
      <x:c r="G1428" s="4">
        <x:v>34117</x:v>
      </x:c>
      <x:c r="H1428" s="6">
        <x:v>156.64</x:v>
      </x:c>
      <x:c r="I1428" s="16">
        <x:v>1</x:v>
      </x:c>
      <x:c r="J1428">
        <x:v>430</x:v>
      </x:c>
      <x:c r="K1428" s="4">
        <x:v>304</x:v>
      </x:c>
      <x:c r="L1428" s="4">
        <x:v>248</x:v>
      </x:c>
      <x:c r="M1428" s="4">
        <x:v>156</x:v>
      </x:c>
      <x:c r="N1428" s="5">
        <x:v>0.629</x:v>
      </x:c>
    </x:row>
    <x:row r="1429" ht="24" customHeight="1">
      <x:c r="A1429" s="1" t="inlineStr">
        <x:is>
          <x:t xml:space="preserve">RESULT</x:t>
        </x:is>
      </x:c>
      <x:c r="B1429" s="1" t="inlineStr">
        <x:is>
          <x:t xml:space="preserve">Round2</x:t>
        </x:is>
      </x:c>
      <x:c r="C1429" s="1" t="inlineStr">
        <x:is>
          <x:t xml:space="preserve">Jsoup_72</x:t>
        </x:is>
      </x:c>
      <x:c r="D1429" s="1" t="inlineStr">
        <x:is>
          <x:t xml:space="preserve">INCONCLUSIVE</x:t>
        </x:is>
      </x:c>
      <x:c r="E1429" s="5">
        <x:v>0.9473999999999999</x:v>
      </x:c>
      <x:c r="F1429" s="4">
        <x:v>0</x:v>
      </x:c>
      <x:c r="G1429" s="4"/>
      <x:c r="H1429" s="6"/>
      <x:c r="I1429" s="16">
        <x:v>1</x:v>
      </x:c>
      <x:c r="J1429">
        <x:v>228</x:v>
      </x:c>
      <x:c r="K1429" s="4">
        <x:v>216</x:v>
      </x:c>
      <x:c r="L1429" s="4">
        <x:v>198</x:v>
      </x:c>
      <x:c r="M1429" s="4">
        <x:v>159</x:v>
      </x:c>
      <x:c r="N1429" s="5">
        <x:v>0.8029999999999999</x:v>
      </x:c>
    </x:row>
    <x:row r="1430" ht="24" customHeight="1">
      <x:c r="A1430" s="1" t="inlineStr">
        <x:is>
          <x:t xml:space="preserve">RESULT</x:t>
        </x:is>
      </x:c>
      <x:c r="B1430" s="1" t="inlineStr">
        <x:is>
          <x:t xml:space="preserve">Round2</x:t>
        </x:is>
      </x:c>
      <x:c r="C1430" s="1" t="inlineStr">
        <x:is>
          <x:t xml:space="preserve">Jsoup_73</x:t>
        </x:is>
      </x:c>
      <x:c r="D1430" s="1" t="inlineStr">
        <x:is>
          <x:t xml:space="preserve">NOT_REVEALING</x:t>
        </x:is>
      </x:c>
      <x:c r="E1430" s="5">
        <x:v>0.9155</x:v>
      </x:c>
      <x:c r="F1430" s="4">
        <x:v>0</x:v>
      </x:c>
      <x:c r="G1430" s="4">
        <x:v>5803</x:v>
      </x:c>
      <x:c r="H1430" s="6">
        <x:v>24.85</x:v>
      </x:c>
      <x:c r="I1430" s="16">
        <x:v>1</x:v>
      </x:c>
      <x:c r="J1430">
        <x:v>71</x:v>
      </x:c>
      <x:c r="K1430" s="4">
        <x:v>65</x:v>
      </x:c>
      <x:c r="L1430" s="4">
        <x:v>28</x:v>
      </x:c>
      <x:c r="M1430" s="4">
        <x:v>24</x:v>
      </x:c>
      <x:c r="N1430" s="5">
        <x:v>0.8571</x:v>
      </x:c>
    </x:row>
    <x:row r="1431" ht="24" customHeight="1">
      <x:c r="A1431" s="1" t="inlineStr">
        <x:is>
          <x:t xml:space="preserve">RESULT</x:t>
        </x:is>
      </x:c>
      <x:c r="B1431" s="1" t="inlineStr">
        <x:is>
          <x:t xml:space="preserve">Round2</x:t>
        </x:is>
      </x:c>
      <x:c r="C1431" s="1" t="inlineStr">
        <x:is>
          <x:t xml:space="preserve">Jsoup_74</x:t>
        </x:is>
      </x:c>
      <x:c r="D1431" s="1" t="inlineStr">
        <x:is>
          <x:t xml:space="preserve">INCONCLUSIVE</x:t>
        </x:is>
      </x:c>
      <x:c r="E1431" s="5">
        <x:v>0.9157</x:v>
      </x:c>
      <x:c r="F1431" s="4">
        <x:v>0</x:v>
      </x:c>
      <x:c r="G1431" s="4"/>
      <x:c r="H1431" s="6"/>
      <x:c r="I1431" s="16">
        <x:v>1</x:v>
      </x:c>
      <x:c r="J1431">
        <x:v>83</x:v>
      </x:c>
      <x:c r="K1431" s="4">
        <x:v>76</x:v>
      </x:c>
      <x:c r="L1431" s="4">
        <x:v>74</x:v>
      </x:c>
      <x:c r="M1431" s="4">
        <x:v>67</x:v>
      </x:c>
      <x:c r="N1431" s="5">
        <x:v>0.9054000000000001</x:v>
      </x:c>
    </x:row>
    <x:row r="1432" ht="24" customHeight="1">
      <x:c r="A1432" s="1" t="inlineStr">
        <x:is>
          <x:t xml:space="preserve">RESULT</x:t>
        </x:is>
      </x:c>
      <x:c r="B1432" s="1" t="inlineStr">
        <x:is>
          <x:t xml:space="preserve">Round2</x:t>
        </x:is>
      </x:c>
      <x:c r="C1432" s="1" t="inlineStr">
        <x:is>
          <x:t xml:space="preserve">Jsoup_75</x:t>
        </x:is>
      </x:c>
      <x:c r="D1432" s="1" t="inlineStr">
        <x:is>
          <x:t xml:space="preserve">INCONCLUSIVE</x:t>
        </x:is>
      </x:c>
      <x:c r="E1432" s="5">
        <x:v>0.9699</x:v>
      </x:c>
      <x:c r="F1432" s="4">
        <x:v>0</x:v>
      </x:c>
      <x:c r="G1432" s="4"/>
      <x:c r="H1432" s="6"/>
      <x:c r="I1432" s="16">
        <x:v>1</x:v>
      </x:c>
      <x:c r="J1432">
        <x:v>166</x:v>
      </x:c>
      <x:c r="K1432" s="4">
        <x:v>161</x:v>
      </x:c>
      <x:c r="L1432" s="4">
        <x:v>84</x:v>
      </x:c>
      <x:c r="M1432" s="4">
        <x:v>75</x:v>
      </x:c>
      <x:c r="N1432" s="5">
        <x:v>0.8929</x:v>
      </x:c>
    </x:row>
    <x:row r="1433" ht="24" customHeight="1">
      <x:c r="A1433" s="1" t="inlineStr">
        <x:is>
          <x:t xml:space="preserve">RESULT</x:t>
        </x:is>
      </x:c>
      <x:c r="B1433" s="1" t="inlineStr">
        <x:is>
          <x:t xml:space="preserve">Round2</x:t>
        </x:is>
      </x:c>
      <x:c r="C1433" s="1" t="inlineStr">
        <x:is>
          <x:t xml:space="preserve">Jsoup_76</x:t>
        </x:is>
      </x:c>
      <x:c r="D1433" s="1" t="inlineStr">
        <x:is>
          <x:t xml:space="preserve">NOT_AVAILABLE</x:t>
        </x:is>
      </x:c>
      <x:c r="E1433" s="5"/>
      <x:c r="F1433" s="4">
        <x:v>0</x:v>
      </x:c>
      <x:c r="G1433" s="4">
        <x:v>20479</x:v>
      </x:c>
      <x:c r="H1433" s="6">
        <x:v>66.03</x:v>
      </x:c>
      <x:c r="I1433" s="16">
        <x:v>1</x:v>
      </x:c>
      <x:c r="J1433"/>
      <x:c r="K1433" s="4"/>
      <x:c r="L1433" s="4"/>
      <x:c r="M1433" s="4"/>
      <x:c r="N1433" s="5"/>
    </x:row>
    <x:row r="1434" ht="24" customHeight="1">
      <x:c r="A1434" s="1" t="inlineStr">
        <x:is>
          <x:t xml:space="preserve">RESULT</x:t>
        </x:is>
      </x:c>
      <x:c r="B1434" s="1" t="inlineStr">
        <x:is>
          <x:t xml:space="preserve">Round2</x:t>
        </x:is>
      </x:c>
      <x:c r="C1434" s="1" t="inlineStr">
        <x:is>
          <x:t xml:space="preserve">Jsoup_77</x:t>
        </x:is>
      </x:c>
      <x:c r="D1434" s="1" t="inlineStr">
        <x:is>
          <x:t xml:space="preserve">NOT_REVEALING</x:t>
        </x:is>
      </x:c>
      <x:c r="E1434" s="5">
        <x:v>0.9854999999999999</x:v>
      </x:c>
      <x:c r="F1434" s="4">
        <x:v>0</x:v>
      </x:c>
      <x:c r="G1434" s="4">
        <x:v>25820</x:v>
      </x:c>
      <x:c r="H1434" s="6">
        <x:v>978.68</x:v>
      </x:c>
      <x:c r="I1434" s="16">
        <x:v>1</x:v>
      </x:c>
      <x:c r="J1434">
        <x:v>69</x:v>
      </x:c>
      <x:c r="K1434" s="4">
        <x:v>68</x:v>
      </x:c>
      <x:c r="L1434" s="4">
        <x:v>31</x:v>
      </x:c>
      <x:c r="M1434" s="4">
        <x:v>26</x:v>
      </x:c>
      <x:c r="N1434" s="5">
        <x:v>0.8387</x:v>
      </x:c>
    </x:row>
    <x:row r="1435" ht="24" customHeight="1">
      <x:c r="A1435" s="1" t="inlineStr">
        <x:is>
          <x:t xml:space="preserve">RESULT</x:t>
        </x:is>
      </x:c>
      <x:c r="B1435" s="1" t="inlineStr">
        <x:is>
          <x:t xml:space="preserve">Round2</x:t>
        </x:is>
      </x:c>
      <x:c r="C1435" s="1" t="inlineStr">
        <x:is>
          <x:t xml:space="preserve">Jsoup_78</x:t>
        </x:is>
      </x:c>
      <x:c r="D1435" s="1" t="inlineStr">
        <x:is>
          <x:t xml:space="preserve">INCONCLUSIVE</x:t>
        </x:is>
      </x:c>
      <x:c r="E1435" s="5">
        <x:v>0.7523000000000001</x:v>
      </x:c>
      <x:c r="F1435" s="4">
        <x:v>0</x:v>
      </x:c>
      <x:c r="G1435" s="4"/>
      <x:c r="H1435" s="6"/>
      <x:c r="I1435" s="16">
        <x:v>1</x:v>
      </x:c>
      <x:c r="J1435">
        <x:v>109</x:v>
      </x:c>
      <x:c r="K1435" s="4">
        <x:v>82</x:v>
      </x:c>
      <x:c r="L1435" s="4">
        <x:v>88</x:v>
      </x:c>
      <x:c r="M1435" s="4">
        <x:v>38</x:v>
      </x:c>
      <x:c r="N1435" s="5">
        <x:v>0.4318</x:v>
      </x:c>
    </x:row>
    <x:row r="1436" ht="24" customHeight="1">
      <x:c r="A1436" s="1" t="inlineStr">
        <x:is>
          <x:t xml:space="preserve">RESULT</x:t>
        </x:is>
      </x:c>
      <x:c r="B1436" s="1" t="inlineStr">
        <x:is>
          <x:t xml:space="preserve">Round2</x:t>
        </x:is>
      </x:c>
      <x:c r="C1436" s="1" t="inlineStr">
        <x:is>
          <x:t xml:space="preserve">Jsoup_79</x:t>
        </x:is>
      </x:c>
      <x:c r="D1436" s="1" t="inlineStr">
        <x:is>
          <x:t xml:space="preserve">NOT_AVAILABLE</x:t>
        </x:is>
      </x:c>
      <x:c r="E1436" s="5"/>
      <x:c r="F1436" s="4">
        <x:v>0</x:v>
      </x:c>
      <x:c r="G1436" s="4">
        <x:v>28047</x:v>
      </x:c>
      <x:c r="H1436" s="6">
        <x:v>604.04</x:v>
      </x:c>
      <x:c r="I1436" s="16">
        <x:v>1</x:v>
      </x:c>
      <x:c r="J1436"/>
      <x:c r="K1436" s="4"/>
      <x:c r="L1436" s="4"/>
      <x:c r="M1436" s="4"/>
      <x:c r="N1436" s="5"/>
    </x:row>
    <x:row r="1437" ht="24" customHeight="1">
      <x:c r="A1437" s="1" t="inlineStr">
        <x:is>
          <x:t xml:space="preserve">RESULT</x:t>
        </x:is>
      </x:c>
      <x:c r="B1437" s="1" t="inlineStr">
        <x:is>
          <x:t xml:space="preserve">Round2</x:t>
        </x:is>
      </x:c>
      <x:c r="C1437" s="1" t="inlineStr">
        <x:is>
          <x:t xml:space="preserve">Jsoup_8</x:t>
        </x:is>
      </x:c>
      <x:c r="D1437" s="1" t="inlineStr">
        <x:is>
          <x:t xml:space="preserve">INCONCLUSIVE</x:t>
        </x:is>
      </x:c>
      <x:c r="E1437" s="5">
        <x:v>0.8776999999999999</x:v>
      </x:c>
      <x:c r="F1437" s="4">
        <x:v>0</x:v>
      </x:c>
      <x:c r="G1437" s="4">
        <x:v>9891</x:v>
      </x:c>
      <x:c r="H1437" s="6">
        <x:v>48.53</x:v>
      </x:c>
      <x:c r="I1437" s="16">
        <x:v>1</x:v>
      </x:c>
      <x:c r="J1437">
        <x:v>139</x:v>
      </x:c>
      <x:c r="K1437" s="4">
        <x:v>122</x:v>
      </x:c>
      <x:c r="L1437" s="4">
        <x:v>40</x:v>
      </x:c>
      <x:c r="M1437" s="4">
        <x:v>29</x:v>
      </x:c>
      <x:c r="N1437" s="5">
        <x:v>0.725</x:v>
      </x:c>
    </x:row>
    <x:row r="1438" ht="24" customHeight="1">
      <x:c r="A1438" s="1" t="inlineStr">
        <x:is>
          <x:t xml:space="preserve">RESULT</x:t>
        </x:is>
      </x:c>
      <x:c r="B1438" s="1" t="inlineStr">
        <x:is>
          <x:t xml:space="preserve">Round2</x:t>
        </x:is>
      </x:c>
      <x:c r="C1438" s="1" t="inlineStr">
        <x:is>
          <x:t xml:space="preserve">Jsoup_80</x:t>
        </x:is>
      </x:c>
      <x:c r="D1438" s="1" t="inlineStr">
        <x:is>
          <x:t xml:space="preserve">NOT_AVAILABLE</x:t>
        </x:is>
      </x:c>
      <x:c r="E1438" s="5"/>
      <x:c r="F1438" s="4">
        <x:v>0</x:v>
      </x:c>
      <x:c r="G1438" s="4">
        <x:v>6297</x:v>
      </x:c>
      <x:c r="H1438" s="6">
        <x:v>34.1</x:v>
      </x:c>
      <x:c r="I1438" s="16">
        <x:v>1</x:v>
      </x:c>
      <x:c r="J1438"/>
      <x:c r="K1438" s="4"/>
      <x:c r="L1438" s="4"/>
      <x:c r="M1438" s="4"/>
      <x:c r="N1438" s="5"/>
    </x:row>
    <x:row r="1439" ht="24" customHeight="1">
      <x:c r="A1439" s="1" t="inlineStr">
        <x:is>
          <x:t xml:space="preserve">RESULT</x:t>
        </x:is>
      </x:c>
      <x:c r="B1439" s="1" t="inlineStr">
        <x:is>
          <x:t xml:space="preserve">Round2</x:t>
        </x:is>
      </x:c>
      <x:c r="C1439" s="1" t="inlineStr">
        <x:is>
          <x:t xml:space="preserve">Jsoup_81</x:t>
        </x:is>
      </x:c>
      <x:c r="D1439" s="1" t="inlineStr">
        <x:is>
          <x:t xml:space="preserve">NOT_REVEALING</x:t>
        </x:is>
      </x:c>
      <x:c r="E1439" s="5">
        <x:v>0.8889</x:v>
      </x:c>
      <x:c r="F1439" s="4">
        <x:v>0</x:v>
      </x:c>
      <x:c r="G1439" s="4">
        <x:v>8011</x:v>
      </x:c>
      <x:c r="H1439" s="6">
        <x:v>32.27</x:v>
      </x:c>
      <x:c r="I1439" s="16">
        <x:v>1</x:v>
      </x:c>
      <x:c r="J1439">
        <x:v>117</x:v>
      </x:c>
      <x:c r="K1439" s="4">
        <x:v>104</x:v>
      </x:c>
      <x:c r="L1439" s="4">
        <x:v>94</x:v>
      </x:c>
      <x:c r="M1439" s="4">
        <x:v>54</x:v>
      </x:c>
      <x:c r="N1439" s="5">
        <x:v>0.5745</x:v>
      </x:c>
    </x:row>
    <x:row r="1440" ht="24" customHeight="1">
      <x:c r="A1440" s="1" t="inlineStr">
        <x:is>
          <x:t xml:space="preserve">RESULT</x:t>
        </x:is>
      </x:c>
      <x:c r="B1440" s="1" t="inlineStr">
        <x:is>
          <x:t xml:space="preserve">Round2</x:t>
        </x:is>
      </x:c>
      <x:c r="C1440" s="1" t="inlineStr">
        <x:is>
          <x:t xml:space="preserve">Jsoup_82</x:t>
        </x:is>
      </x:c>
      <x:c r="D1440" s="1" t="inlineStr">
        <x:is>
          <x:t xml:space="preserve">INCONCLUSIVE</x:t>
        </x:is>
      </x:c>
      <x:c r="E1440" s="5">
        <x:v>0.7965000000000001</x:v>
      </x:c>
      <x:c r="F1440" s="4">
        <x:v>0</x:v>
      </x:c>
      <x:c r="G1440" s="4"/>
      <x:c r="H1440" s="6"/>
      <x:c r="I1440" s="16">
        <x:v>1</x:v>
      </x:c>
      <x:c r="J1440">
        <x:v>113</x:v>
      </x:c>
      <x:c r="K1440" s="4">
        <x:v>90</x:v>
      </x:c>
      <x:c r="L1440" s="4">
        <x:v>96</x:v>
      </x:c>
      <x:c r="M1440" s="4">
        <x:v>44</x:v>
      </x:c>
      <x:c r="N1440" s="5">
        <x:v>0.4583</x:v>
      </x:c>
    </x:row>
    <x:row r="1441" ht="24" customHeight="1">
      <x:c r="A1441" s="1" t="inlineStr">
        <x:is>
          <x:t xml:space="preserve">RESULT</x:t>
        </x:is>
      </x:c>
      <x:c r="B1441" s="1" t="inlineStr">
        <x:is>
          <x:t xml:space="preserve">Round2</x:t>
        </x:is>
      </x:c>
      <x:c r="C1441" s="1" t="inlineStr">
        <x:is>
          <x:t xml:space="preserve">Jsoup_83</x:t>
        </x:is>
      </x:c>
      <x:c r="D1441" s="1" t="inlineStr">
        <x:is>
          <x:t xml:space="preserve">NOT_AVAILABLE</x:t>
        </x:is>
      </x:c>
      <x:c r="E1441" s="5"/>
      <x:c r="F1441" s="4">
        <x:v>0</x:v>
      </x:c>
      <x:c r="G1441" s="4">
        <x:v>48767</x:v>
      </x:c>
      <x:c r="H1441" s="6">
        <x:v>1204.07</x:v>
      </x:c>
      <x:c r="I1441" s="16">
        <x:v>1</x:v>
      </x:c>
      <x:c r="J1441"/>
      <x:c r="K1441" s="4"/>
      <x:c r="L1441" s="4"/>
      <x:c r="M1441" s="4"/>
      <x:c r="N1441" s="5"/>
    </x:row>
    <x:row r="1442" ht="24" customHeight="1">
      <x:c r="A1442" s="1" t="inlineStr">
        <x:is>
          <x:t xml:space="preserve">RESULT</x:t>
        </x:is>
      </x:c>
      <x:c r="B1442" s="1" t="inlineStr">
        <x:is>
          <x:t xml:space="preserve">Round2</x:t>
        </x:is>
      </x:c>
      <x:c r="C1442" s="1" t="inlineStr">
        <x:is>
          <x:t xml:space="preserve">Jsoup_84</x:t>
        </x:is>
      </x:c>
      <x:c r="D1442" s="1" t="inlineStr">
        <x:is>
          <x:t xml:space="preserve">NOT_REVEALING</x:t>
        </x:is>
      </x:c>
      <x:c r="E1442" s="5">
        <x:v>0.9342</x:v>
      </x:c>
      <x:c r="F1442" s="4">
        <x:v>0</x:v>
      </x:c>
      <x:c r="G1442" s="4">
        <x:v>17143</x:v>
      </x:c>
      <x:c r="H1442" s="6">
        <x:v>74.45</x:v>
      </x:c>
      <x:c r="I1442" s="16">
        <x:v>1</x:v>
      </x:c>
      <x:c r="J1442">
        <x:v>76</x:v>
      </x:c>
      <x:c r="K1442" s="4">
        <x:v>71</x:v>
      </x:c>
      <x:c r="L1442" s="4">
        <x:v>28</x:v>
      </x:c>
      <x:c r="M1442" s="4">
        <x:v>25</x:v>
      </x:c>
      <x:c r="N1442" s="5">
        <x:v>0.8929</x:v>
      </x:c>
    </x:row>
    <x:row r="1443" ht="24" customHeight="1">
      <x:c r="A1443" s="1" t="inlineStr">
        <x:is>
          <x:t xml:space="preserve">RESULT</x:t>
        </x:is>
      </x:c>
      <x:c r="B1443" s="1" t="inlineStr">
        <x:is>
          <x:t xml:space="preserve">Round2</x:t>
        </x:is>
      </x:c>
      <x:c r="C1443" s="1" t="inlineStr">
        <x:is>
          <x:t xml:space="preserve">Jsoup_85</x:t>
        </x:is>
      </x:c>
      <x:c r="D1443" s="1" t="inlineStr">
        <x:is>
          <x:t xml:space="preserve">INCONCLUSIVE</x:t>
        </x:is>
      </x:c>
      <x:c r="E1443" s="5">
        <x:v>0.9077</x:v>
      </x:c>
      <x:c r="F1443" s="4">
        <x:v>0</x:v>
      </x:c>
      <x:c r="G1443" s="4"/>
      <x:c r="H1443" s="6"/>
      <x:c r="I1443" s="16">
        <x:v>1</x:v>
      </x:c>
      <x:c r="J1443">
        <x:v>65</x:v>
      </x:c>
      <x:c r="K1443" s="4">
        <x:v>59</x:v>
      </x:c>
      <x:c r="L1443" s="4">
        <x:v>50</x:v>
      </x:c>
      <x:c r="M1443" s="4">
        <x:v>37</x:v>
      </x:c>
      <x:c r="N1443" s="5">
        <x:v>0.74</x:v>
      </x:c>
    </x:row>
    <x:row r="1444" ht="24" customHeight="1">
      <x:c r="A1444" s="1" t="inlineStr">
        <x:is>
          <x:t xml:space="preserve">RESULT</x:t>
        </x:is>
      </x:c>
      <x:c r="B1444" s="1" t="inlineStr">
        <x:is>
          <x:t xml:space="preserve">Round2</x:t>
        </x:is>
      </x:c>
      <x:c r="C1444" s="1" t="inlineStr">
        <x:is>
          <x:t xml:space="preserve">Jsoup_86</x:t>
        </x:is>
      </x:c>
      <x:c r="D1444" s="1" t="inlineStr">
        <x:is>
          <x:t xml:space="preserve">INCONCLUSIVE</x:t>
        </x:is>
      </x:c>
      <x:c r="E1444" s="5">
        <x:v>0.9259000000000001</x:v>
      </x:c>
      <x:c r="F1444" s="4">
        <x:v>0</x:v>
      </x:c>
      <x:c r="G1444" s="4"/>
      <x:c r="H1444" s="6"/>
      <x:c r="I1444" s="16">
        <x:v>1</x:v>
      </x:c>
      <x:c r="J1444">
        <x:v>27</x:v>
      </x:c>
      <x:c r="K1444" s="4">
        <x:v>25</x:v>
      </x:c>
      <x:c r="L1444" s="4">
        <x:v>10</x:v>
      </x:c>
      <x:c r="M1444" s="4">
        <x:v>8</x:v>
      </x:c>
      <x:c r="N1444" s="5">
        <x:v>0.8</x:v>
      </x:c>
    </x:row>
    <x:row r="1445" ht="24" customHeight="1">
      <x:c r="A1445" s="1" t="inlineStr">
        <x:is>
          <x:t xml:space="preserve">RESULT</x:t>
        </x:is>
      </x:c>
      <x:c r="B1445" s="1" t="inlineStr">
        <x:is>
          <x:t xml:space="preserve">Round2</x:t>
        </x:is>
      </x:c>
      <x:c r="C1445" s="1" t="inlineStr">
        <x:is>
          <x:t xml:space="preserve">Jsoup_87</x:t>
        </x:is>
      </x:c>
      <x:c r="D1445" s="1" t="inlineStr">
        <x:is>
          <x:t xml:space="preserve">NOT_AVAILABLE</x:t>
        </x:is>
      </x:c>
      <x:c r="E1445" s="5"/>
      <x:c r="F1445" s="4">
        <x:v>0</x:v>
      </x:c>
      <x:c r="G1445" s="4">
        <x:v>113459</x:v>
      </x:c>
      <x:c r="H1445" s="6">
        <x:v>510.89</x:v>
      </x:c>
      <x:c r="I1445" s="16">
        <x:v>1</x:v>
      </x:c>
      <x:c r="J1445"/>
      <x:c r="K1445" s="4"/>
      <x:c r="L1445" s="4"/>
      <x:c r="M1445" s="4"/>
      <x:c r="N1445" s="5"/>
    </x:row>
    <x:row r="1446" ht="24" customHeight="1">
      <x:c r="A1446" s="1" t="inlineStr">
        <x:is>
          <x:t xml:space="preserve">RESULT</x:t>
        </x:is>
      </x:c>
      <x:c r="B1446" s="1" t="inlineStr">
        <x:is>
          <x:t xml:space="preserve">Round2</x:t>
        </x:is>
      </x:c>
      <x:c r="C1446" s="1" t="inlineStr">
        <x:is>
          <x:t xml:space="preserve">Jsoup_88</x:t>
        </x:is>
      </x:c>
      <x:c r="D1446" s="1" t="inlineStr">
        <x:is>
          <x:t xml:space="preserve">NOT_REVEALING</x:t>
        </x:is>
      </x:c>
      <x:c r="E1446" s="5">
        <x:v>0.8787999999999999</x:v>
      </x:c>
      <x:c r="F1446" s="4">
        <x:v>0</x:v>
      </x:c>
      <x:c r="G1446" s="4"/>
      <x:c r="H1446" s="6"/>
      <x:c r="I1446" s="16">
        <x:v>1</x:v>
      </x:c>
      <x:c r="J1446">
        <x:v>66</x:v>
      </x:c>
      <x:c r="K1446" s="4">
        <x:v>58</x:v>
      </x:c>
      <x:c r="L1446" s="4">
        <x:v>50</x:v>
      </x:c>
      <x:c r="M1446" s="4">
        <x:v>36</x:v>
      </x:c>
      <x:c r="N1446" s="5">
        <x:v>0.72</x:v>
      </x:c>
    </x:row>
    <x:row r="1447" ht="24" customHeight="1">
      <x:c r="A1447" s="1" t="inlineStr">
        <x:is>
          <x:t xml:space="preserve">RESULT</x:t>
        </x:is>
      </x:c>
      <x:c r="B1447" s="1" t="inlineStr">
        <x:is>
          <x:t xml:space="preserve">Round2</x:t>
        </x:is>
      </x:c>
      <x:c r="C1447" s="1" t="inlineStr">
        <x:is>
          <x:t xml:space="preserve">Jsoup_89</x:t>
        </x:is>
      </x:c>
      <x:c r="D1447" s="1" t="inlineStr">
        <x:is>
          <x:t xml:space="preserve">INCONCLUSIVE</x:t>
        </x:is>
      </x:c>
      <x:c r="E1447" s="5">
        <x:v>0.8939</x:v>
      </x:c>
      <x:c r="F1447" s="4">
        <x:v>0</x:v>
      </x:c>
      <x:c r="G1447" s="4"/>
      <x:c r="H1447" s="6"/>
      <x:c r="I1447" s="16">
        <x:v>1</x:v>
      </x:c>
      <x:c r="J1447">
        <x:v>66</x:v>
      </x:c>
      <x:c r="K1447" s="4">
        <x:v>59</x:v>
      </x:c>
      <x:c r="L1447" s="4">
        <x:v>50</x:v>
      </x:c>
      <x:c r="M1447" s="4">
        <x:v>38</x:v>
      </x:c>
      <x:c r="N1447" s="5">
        <x:v>0.76</x:v>
      </x:c>
    </x:row>
    <x:row r="1448" ht="24" customHeight="1">
      <x:c r="A1448" s="1" t="inlineStr">
        <x:is>
          <x:t xml:space="preserve">RESULT</x:t>
        </x:is>
      </x:c>
      <x:c r="B1448" s="1" t="inlineStr">
        <x:is>
          <x:t xml:space="preserve">Round2</x:t>
        </x:is>
      </x:c>
      <x:c r="C1448" s="1" t="inlineStr">
        <x:is>
          <x:t xml:space="preserve">Jsoup_9</x:t>
        </x:is>
      </x:c>
      <x:c r="D1448" s="1" t="inlineStr">
        <x:is>
          <x:t xml:space="preserve">NOT_REVEALING</x:t>
        </x:is>
      </x:c>
      <x:c r="E1448" s="5"/>
      <x:c r="F1448" s="4">
        <x:v>0</x:v>
      </x:c>
      <x:c r="G1448" s="4"/>
      <x:c r="H1448" s="6"/>
      <x:c r="I1448" s="16">
        <x:v>1</x:v>
      </x:c>
      <x:c r="J1448"/>
      <x:c r="K1448" s="4"/>
      <x:c r="L1448" s="4"/>
      <x:c r="M1448" s="4"/>
      <x:c r="N1448" s="5"/>
    </x:row>
    <x:row r="1449" ht="24" customHeight="1">
      <x:c r="A1449" s="1" t="inlineStr">
        <x:is>
          <x:t xml:space="preserve">RESULT</x:t>
        </x:is>
      </x:c>
      <x:c r="B1449" s="1" t="inlineStr">
        <x:is>
          <x:t xml:space="preserve">Round2</x:t>
        </x:is>
      </x:c>
      <x:c r="C1449" s="1" t="inlineStr">
        <x:is>
          <x:t xml:space="preserve">Jsoup_90</x:t>
        </x:is>
      </x:c>
      <x:c r="D1449" s="1" t="inlineStr">
        <x:is>
          <x:t xml:space="preserve">NOT_AVAILABLE</x:t>
        </x:is>
      </x:c>
      <x:c r="E1449" s="5"/>
      <x:c r="F1449" s="4">
        <x:v>0</x:v>
      </x:c>
      <x:c r="G1449" s="4">
        <x:v>17422</x:v>
      </x:c>
      <x:c r="H1449" s="6">
        <x:v>68.0</x:v>
      </x:c>
      <x:c r="I1449" s="16">
        <x:v>1</x:v>
      </x:c>
      <x:c r="J1449"/>
      <x:c r="K1449" s="4"/>
      <x:c r="L1449" s="4"/>
      <x:c r="M1449" s="4"/>
      <x:c r="N1449" s="5"/>
    </x:row>
    <x:row r="1450" ht="24" customHeight="1">
      <x:c r="A1450" s="1" t="inlineStr">
        <x:is>
          <x:t xml:space="preserve">RESULT</x:t>
        </x:is>
      </x:c>
      <x:c r="B1450" s="1" t="inlineStr">
        <x:is>
          <x:t xml:space="preserve">Round2</x:t>
        </x:is>
      </x:c>
      <x:c r="C1450" s="1" t="inlineStr">
        <x:is>
          <x:t xml:space="preserve">Jsoup_91</x:t>
        </x:is>
      </x:c>
      <x:c r="D1450" s="1" t="inlineStr">
        <x:is>
          <x:t xml:space="preserve">NOT_AVAILABLE</x:t>
        </x:is>
      </x:c>
      <x:c r="E1450" s="5"/>
      <x:c r="F1450" s="4">
        <x:v>0</x:v>
      </x:c>
      <x:c r="G1450" s="4">
        <x:v>12273</x:v>
      </x:c>
      <x:c r="H1450" s="6">
        <x:v>57.91</x:v>
      </x:c>
      <x:c r="I1450" s="16">
        <x:v>1</x:v>
      </x:c>
      <x:c r="J1450"/>
      <x:c r="K1450" s="4"/>
      <x:c r="L1450" s="4"/>
      <x:c r="M1450" s="4"/>
      <x:c r="N1450" s="5"/>
    </x:row>
    <x:row r="1451" ht="24" customHeight="1">
      <x:c r="A1451" s="1" t="inlineStr">
        <x:is>
          <x:t xml:space="preserve">RESULT</x:t>
        </x:is>
      </x:c>
      <x:c r="B1451" s="1" t="inlineStr">
        <x:is>
          <x:t xml:space="preserve">Round2</x:t>
        </x:is>
      </x:c>
      <x:c r="C1451" s="1" t="inlineStr">
        <x:is>
          <x:t xml:space="preserve">Jsoup_92</x:t>
        </x:is>
      </x:c>
      <x:c r="D1451" s="1" t="inlineStr">
        <x:is>
          <x:t xml:space="preserve">NOT_AVAILABLE</x:t>
        </x:is>
      </x:c>
      <x:c r="E1451" s="5"/>
      <x:c r="F1451" s="4">
        <x:v>0</x:v>
      </x:c>
      <x:c r="G1451" s="4">
        <x:v>98057</x:v>
      </x:c>
      <x:c r="H1451" s="6">
        <x:v>443.33</x:v>
      </x:c>
      <x:c r="I1451" s="16">
        <x:v>1</x:v>
      </x:c>
      <x:c r="J1451"/>
      <x:c r="K1451" s="4"/>
      <x:c r="L1451" s="4"/>
      <x:c r="M1451" s="4"/>
      <x:c r="N1451" s="5"/>
    </x:row>
    <x:row r="1452" ht="24" customHeight="1">
      <x:c r="A1452" s="1" t="inlineStr">
        <x:is>
          <x:t xml:space="preserve">RESULT</x:t>
        </x:is>
      </x:c>
      <x:c r="B1452" s="1" t="inlineStr">
        <x:is>
          <x:t xml:space="preserve">Round2</x:t>
        </x:is>
      </x:c>
      <x:c r="C1452" s="1" t="inlineStr">
        <x:is>
          <x:t xml:space="preserve">Jsoup_93</x:t>
        </x:is>
      </x:c>
      <x:c r="D1452" s="1" t="inlineStr">
        <x:is>
          <x:t xml:space="preserve">NOT_REVEALING</x:t>
        </x:is>
      </x:c>
      <x:c r="E1452" s="5">
        <x:v>0.9268000000000001</x:v>
      </x:c>
      <x:c r="F1452" s="4">
        <x:v>0</x:v>
      </x:c>
      <x:c r="G1452" s="4">
        <x:v>37674</x:v>
      </x:c>
      <x:c r="H1452" s="6">
        <x:v>181.9</x:v>
      </x:c>
      <x:c r="I1452" s="16">
        <x:v>1</x:v>
      </x:c>
      <x:c r="J1452">
        <x:v>41</x:v>
      </x:c>
      <x:c r="K1452" s="4">
        <x:v>38</x:v>
      </x:c>
      <x:c r="L1452" s="4">
        <x:v>28</x:v>
      </x:c>
      <x:c r="M1452" s="4">
        <x:v>28</x:v>
      </x:c>
      <x:c r="N1452" s="5">
        <x:v>1.0</x:v>
      </x:c>
    </x:row>
    <x:row r="1453" ht="24" customHeight="1">
      <x:c r="A1453" s="1" t="inlineStr">
        <x:is>
          <x:t xml:space="preserve">RESULT</x:t>
        </x:is>
      </x:c>
      <x:c r="B1453" s="1" t="inlineStr">
        <x:is>
          <x:t xml:space="preserve">Round2</x:t>
        </x:is>
      </x:c>
      <x:c r="C1453" s="1" t="inlineStr">
        <x:is>
          <x:t xml:space="preserve">JxPath_1</x:t>
        </x:is>
      </x:c>
      <x:c r="D1453" s="1" t="inlineStr">
        <x:is>
          <x:t xml:space="preserve">NOT_AVAILABLE</x:t>
        </x:is>
      </x:c>
      <x:c r="E1453" s="5"/>
      <x:c r="F1453" s="4">
        <x:v>0</x:v>
      </x:c>
      <x:c r="G1453" s="4">
        <x:v>21290</x:v>
      </x:c>
      <x:c r="H1453" s="6">
        <x:v>78.58</x:v>
      </x:c>
      <x:c r="I1453" s="16">
        <x:v>1</x:v>
      </x:c>
      <x:c r="J1453"/>
      <x:c r="K1453" s="4"/>
      <x:c r="L1453" s="4"/>
      <x:c r="M1453" s="4"/>
      <x:c r="N1453" s="5"/>
    </x:row>
    <x:row r="1454" ht="24" customHeight="1">
      <x:c r="A1454" s="1" t="inlineStr">
        <x:is>
          <x:t xml:space="preserve">RESULT</x:t>
        </x:is>
      </x:c>
      <x:c r="B1454" s="1" t="inlineStr">
        <x:is>
          <x:t xml:space="preserve">Round2</x:t>
        </x:is>
      </x:c>
      <x:c r="C1454" s="1" t="inlineStr">
        <x:is>
          <x:t xml:space="preserve">JxPath_10</x:t>
        </x:is>
      </x:c>
      <x:c r="D1454" s="1" t="inlineStr">
        <x:is>
          <x:t xml:space="preserve">NOT_AVAILABLE</x:t>
        </x:is>
      </x:c>
      <x:c r="E1454" s="5"/>
      <x:c r="F1454" s="4">
        <x:v>0</x:v>
      </x:c>
      <x:c r="G1454" s="4">
        <x:v>6491</x:v>
      </x:c>
      <x:c r="H1454" s="6">
        <x:v>34.79</x:v>
      </x:c>
      <x:c r="I1454" s="16">
        <x:v>1</x:v>
      </x:c>
      <x:c r="J1454"/>
      <x:c r="K1454" s="4"/>
      <x:c r="L1454" s="4"/>
      <x:c r="M1454" s="4"/>
      <x:c r="N1454" s="5"/>
    </x:row>
    <x:row r="1455" ht="24" customHeight="1">
      <x:c r="A1455" s="1" t="inlineStr">
        <x:is>
          <x:t xml:space="preserve">RESULT</x:t>
        </x:is>
      </x:c>
      <x:c r="B1455" s="1" t="inlineStr">
        <x:is>
          <x:t xml:space="preserve">Round2</x:t>
        </x:is>
      </x:c>
      <x:c r="C1455" s="1" t="inlineStr">
        <x:is>
          <x:t xml:space="preserve">JxPath_11</x:t>
        </x:is>
      </x:c>
      <x:c r="D1455" s="1" t="inlineStr">
        <x:is>
          <x:t xml:space="preserve">NOT_AVAILABLE</x:t>
        </x:is>
      </x:c>
      <x:c r="E1455" s="5"/>
      <x:c r="F1455" s="4">
        <x:v>0</x:v>
      </x:c>
      <x:c r="G1455" s="4">
        <x:v>7403</x:v>
      </x:c>
      <x:c r="H1455" s="6">
        <x:v>26.1</x:v>
      </x:c>
      <x:c r="I1455" s="16">
        <x:v>1</x:v>
      </x:c>
      <x:c r="J1455"/>
      <x:c r="K1455" s="4"/>
      <x:c r="L1455" s="4"/>
      <x:c r="M1455" s="4"/>
      <x:c r="N1455" s="5"/>
    </x:row>
    <x:row r="1456" ht="24" customHeight="1">
      <x:c r="A1456" s="1" t="inlineStr">
        <x:is>
          <x:t xml:space="preserve">RESULT</x:t>
        </x:is>
      </x:c>
      <x:c r="B1456" s="1" t="inlineStr">
        <x:is>
          <x:t xml:space="preserve">Round2</x:t>
        </x:is>
      </x:c>
      <x:c r="C1456" s="1" t="inlineStr">
        <x:is>
          <x:t xml:space="preserve">JxPath_12</x:t>
        </x:is>
      </x:c>
      <x:c r="D1456" s="1" t="inlineStr">
        <x:is>
          <x:t xml:space="preserve">NOT_AVAILABLE</x:t>
        </x:is>
      </x:c>
      <x:c r="E1456" s="5"/>
      <x:c r="F1456" s="4">
        <x:v>0</x:v>
      </x:c>
      <x:c r="G1456" s="4">
        <x:v>9295</x:v>
      </x:c>
      <x:c r="H1456" s="6">
        <x:v>45.55</x:v>
      </x:c>
      <x:c r="I1456" s="16">
        <x:v>1</x:v>
      </x:c>
      <x:c r="J1456"/>
      <x:c r="K1456" s="4"/>
      <x:c r="L1456" s="4"/>
      <x:c r="M1456" s="4"/>
      <x:c r="N1456" s="5"/>
    </x:row>
    <x:row r="1457" ht="24" customHeight="1">
      <x:c r="A1457" s="1" t="inlineStr">
        <x:is>
          <x:t xml:space="preserve">RESULT</x:t>
        </x:is>
      </x:c>
      <x:c r="B1457" s="1" t="inlineStr">
        <x:is>
          <x:t xml:space="preserve">Round2</x:t>
        </x:is>
      </x:c>
      <x:c r="C1457" s="1" t="inlineStr">
        <x:is>
          <x:t xml:space="preserve">JxPath_13</x:t>
        </x:is>
      </x:c>
      <x:c r="D1457" s="1" t="inlineStr">
        <x:is>
          <x:t xml:space="preserve">NOT_AVAILABLE</x:t>
        </x:is>
      </x:c>
      <x:c r="E1457" s="5"/>
      <x:c r="F1457" s="4">
        <x:v>0</x:v>
      </x:c>
      <x:c r="G1457" s="4">
        <x:v>18326</x:v>
      </x:c>
      <x:c r="H1457" s="6">
        <x:v>77.93</x:v>
      </x:c>
      <x:c r="I1457" s="16">
        <x:v>1</x:v>
      </x:c>
      <x:c r="J1457"/>
      <x:c r="K1457" s="4"/>
      <x:c r="L1457" s="4"/>
      <x:c r="M1457" s="4"/>
      <x:c r="N1457" s="5"/>
    </x:row>
    <x:row r="1458" ht="24" customHeight="1">
      <x:c r="A1458" s="1" t="inlineStr">
        <x:is>
          <x:t xml:space="preserve">RESULT</x:t>
        </x:is>
      </x:c>
      <x:c r="B1458" s="1" t="inlineStr">
        <x:is>
          <x:t xml:space="preserve">Round2</x:t>
        </x:is>
      </x:c>
      <x:c r="C1458" s="1" t="inlineStr">
        <x:is>
          <x:t xml:space="preserve">JxPath_14</x:t>
        </x:is>
      </x:c>
      <x:c r="D1458" s="1" t="inlineStr">
        <x:is>
          <x:t xml:space="preserve">NOT_AVAILABLE</x:t>
        </x:is>
      </x:c>
      <x:c r="E1458" s="5"/>
      <x:c r="F1458" s="4">
        <x:v>0</x:v>
      </x:c>
      <x:c r="G1458" s="4">
        <x:v>12143</x:v>
      </x:c>
      <x:c r="H1458" s="6">
        <x:v>51.1</x:v>
      </x:c>
      <x:c r="I1458" s="16">
        <x:v>1</x:v>
      </x:c>
      <x:c r="J1458"/>
      <x:c r="K1458" s="4"/>
      <x:c r="L1458" s="4"/>
      <x:c r="M1458" s="4"/>
      <x:c r="N1458" s="5"/>
    </x:row>
    <x:row r="1459" ht="24" customHeight="1">
      <x:c r="A1459" s="1" t="inlineStr">
        <x:is>
          <x:t xml:space="preserve">RESULT</x:t>
        </x:is>
      </x:c>
      <x:c r="B1459" s="1" t="inlineStr">
        <x:is>
          <x:t xml:space="preserve">Round2</x:t>
        </x:is>
      </x:c>
      <x:c r="C1459" s="1" t="inlineStr">
        <x:is>
          <x:t xml:space="preserve">JxPath_15</x:t>
        </x:is>
      </x:c>
      <x:c r="D1459" s="1" t="inlineStr">
        <x:is>
          <x:t xml:space="preserve">NOT_AVAILABLE</x:t>
        </x:is>
      </x:c>
      <x:c r="E1459" s="5"/>
      <x:c r="F1459" s="4">
        <x:v>0</x:v>
      </x:c>
      <x:c r="G1459" s="4">
        <x:v>2930</x:v>
      </x:c>
      <x:c r="H1459" s="6">
        <x:v>11.48</x:v>
      </x:c>
      <x:c r="I1459" s="16">
        <x:v>1</x:v>
      </x:c>
      <x:c r="J1459"/>
      <x:c r="K1459" s="4"/>
      <x:c r="L1459" s="4"/>
      <x:c r="M1459" s="4"/>
      <x:c r="N1459" s="5"/>
    </x:row>
    <x:row r="1460" ht="24" customHeight="1">
      <x:c r="A1460" s="1" t="inlineStr">
        <x:is>
          <x:t xml:space="preserve">RESULT</x:t>
        </x:is>
      </x:c>
      <x:c r="B1460" s="1" t="inlineStr">
        <x:is>
          <x:t xml:space="preserve">Round2</x:t>
        </x:is>
      </x:c>
      <x:c r="C1460" s="1" t="inlineStr">
        <x:is>
          <x:t xml:space="preserve">JxPath_16</x:t>
        </x:is>
      </x:c>
      <x:c r="D1460" s="1" t="inlineStr">
        <x:is>
          <x:t xml:space="preserve">NOT_AVAILABLE</x:t>
        </x:is>
      </x:c>
      <x:c r="E1460" s="5"/>
      <x:c r="F1460" s="4">
        <x:v>0</x:v>
      </x:c>
      <x:c r="G1460" s="4">
        <x:v>22733</x:v>
      </x:c>
      <x:c r="H1460" s="6">
        <x:v>96.68</x:v>
      </x:c>
      <x:c r="I1460" s="16">
        <x:v>1</x:v>
      </x:c>
      <x:c r="J1460"/>
      <x:c r="K1460" s="4"/>
      <x:c r="L1460" s="4"/>
      <x:c r="M1460" s="4"/>
      <x:c r="N1460" s="5"/>
    </x:row>
    <x:row r="1461" ht="24" customHeight="1">
      <x:c r="A1461" s="1" t="inlineStr">
        <x:is>
          <x:t xml:space="preserve">RESULT</x:t>
        </x:is>
      </x:c>
      <x:c r="B1461" s="1" t="inlineStr">
        <x:is>
          <x:t xml:space="preserve">Round2</x:t>
        </x:is>
      </x:c>
      <x:c r="C1461" s="1" t="inlineStr">
        <x:is>
          <x:t xml:space="preserve">JxPath_17</x:t>
        </x:is>
      </x:c>
      <x:c r="D1461" s="1" t="inlineStr">
        <x:is>
          <x:t xml:space="preserve">NOT_AVAILABLE</x:t>
        </x:is>
      </x:c>
      <x:c r="E1461" s="5"/>
      <x:c r="F1461" s="4">
        <x:v>0</x:v>
      </x:c>
      <x:c r="G1461" s="4">
        <x:v>10336</x:v>
      </x:c>
      <x:c r="H1461" s="6">
        <x:v>54.25</x:v>
      </x:c>
      <x:c r="I1461" s="16">
        <x:v>1</x:v>
      </x:c>
      <x:c r="J1461"/>
      <x:c r="K1461" s="4"/>
      <x:c r="L1461" s="4"/>
      <x:c r="M1461" s="4"/>
      <x:c r="N1461" s="5"/>
    </x:row>
    <x:row r="1462" ht="24" customHeight="1">
      <x:c r="A1462" s="1" t="inlineStr">
        <x:is>
          <x:t xml:space="preserve">RESULT</x:t>
        </x:is>
      </x:c>
      <x:c r="B1462" s="1" t="inlineStr">
        <x:is>
          <x:t xml:space="preserve">Round2</x:t>
        </x:is>
      </x:c>
      <x:c r="C1462" s="1" t="inlineStr">
        <x:is>
          <x:t xml:space="preserve">JxPath_18</x:t>
        </x:is>
      </x:c>
      <x:c r="D1462" s="1" t="inlineStr">
        <x:is>
          <x:t xml:space="preserve">NOT_AVAILABLE</x:t>
        </x:is>
      </x:c>
      <x:c r="E1462" s="5"/>
      <x:c r="F1462" s="4">
        <x:v>0</x:v>
      </x:c>
      <x:c r="G1462" s="4">
        <x:v>3798</x:v>
      </x:c>
      <x:c r="H1462" s="6">
        <x:v>65.88</x:v>
      </x:c>
      <x:c r="I1462" s="16">
        <x:v>1</x:v>
      </x:c>
      <x:c r="J1462"/>
      <x:c r="K1462" s="4"/>
      <x:c r="L1462" s="4"/>
      <x:c r="M1462" s="4"/>
      <x:c r="N1462" s="5"/>
    </x:row>
    <x:row r="1463" ht="24" customHeight="1">
      <x:c r="A1463" s="1" t="inlineStr">
        <x:is>
          <x:t xml:space="preserve">RESULT</x:t>
        </x:is>
      </x:c>
      <x:c r="B1463" s="1" t="inlineStr">
        <x:is>
          <x:t xml:space="preserve">Round2</x:t>
        </x:is>
      </x:c>
      <x:c r="C1463" s="1" t="inlineStr">
        <x:is>
          <x:t xml:space="preserve">JxPath_19</x:t>
        </x:is>
      </x:c>
      <x:c r="D1463" s="1" t="inlineStr">
        <x:is>
          <x:t xml:space="preserve">NOT_AVAILABLE</x:t>
        </x:is>
      </x:c>
      <x:c r="E1463" s="5"/>
      <x:c r="F1463" s="4">
        <x:v>0</x:v>
      </x:c>
      <x:c r="G1463" s="4">
        <x:v>21236</x:v>
      </x:c>
      <x:c r="H1463" s="6">
        <x:v>79.09</x:v>
      </x:c>
      <x:c r="I1463" s="16">
        <x:v>1</x:v>
      </x:c>
      <x:c r="J1463"/>
      <x:c r="K1463" s="4"/>
      <x:c r="L1463" s="4"/>
      <x:c r="M1463" s="4"/>
      <x:c r="N1463" s="5"/>
    </x:row>
    <x:row r="1464" ht="24" customHeight="1">
      <x:c r="A1464" s="1" t="inlineStr">
        <x:is>
          <x:t xml:space="preserve">RESULT</x:t>
        </x:is>
      </x:c>
      <x:c r="B1464" s="1" t="inlineStr">
        <x:is>
          <x:t xml:space="preserve">Round2</x:t>
        </x:is>
      </x:c>
      <x:c r="C1464" s="1" t="inlineStr">
        <x:is>
          <x:t xml:space="preserve">JxPath_2</x:t>
        </x:is>
      </x:c>
      <x:c r="D1464" s="1" t="inlineStr">
        <x:is>
          <x:t xml:space="preserve">NOT_AVAILABLE</x:t>
        </x:is>
      </x:c>
      <x:c r="E1464" s="5"/>
      <x:c r="F1464" s="4">
        <x:v>0</x:v>
      </x:c>
      <x:c r="G1464" s="4">
        <x:v>4375</x:v>
      </x:c>
      <x:c r="H1464" s="6">
        <x:v>18.56</x:v>
      </x:c>
      <x:c r="I1464" s="16">
        <x:v>1</x:v>
      </x:c>
      <x:c r="J1464"/>
      <x:c r="K1464" s="4"/>
      <x:c r="L1464" s="4"/>
      <x:c r="M1464" s="4"/>
      <x:c r="N1464" s="5"/>
    </x:row>
    <x:row r="1465" ht="24" customHeight="1">
      <x:c r="A1465" s="1" t="inlineStr">
        <x:is>
          <x:t xml:space="preserve">RESULT</x:t>
        </x:is>
      </x:c>
      <x:c r="B1465" s="1" t="inlineStr">
        <x:is>
          <x:t xml:space="preserve">Round2</x:t>
        </x:is>
      </x:c>
      <x:c r="C1465" s="1" t="inlineStr">
        <x:is>
          <x:t xml:space="preserve">JxPath_20</x:t>
        </x:is>
      </x:c>
      <x:c r="D1465" s="1" t="inlineStr">
        <x:is>
          <x:t xml:space="preserve">NOT_AVAILABLE</x:t>
        </x:is>
      </x:c>
      <x:c r="E1465" s="5"/>
      <x:c r="F1465" s="4">
        <x:v>0</x:v>
      </x:c>
      <x:c r="G1465" s="4">
        <x:v>4709</x:v>
      </x:c>
      <x:c r="H1465" s="6">
        <x:v>20.6</x:v>
      </x:c>
      <x:c r="I1465" s="16">
        <x:v>1</x:v>
      </x:c>
      <x:c r="J1465"/>
      <x:c r="K1465" s="4"/>
      <x:c r="L1465" s="4"/>
      <x:c r="M1465" s="4"/>
      <x:c r="N1465" s="5"/>
    </x:row>
    <x:row r="1466" ht="24" customHeight="1">
      <x:c r="A1466" s="1" t="inlineStr">
        <x:is>
          <x:t xml:space="preserve">RESULT</x:t>
        </x:is>
      </x:c>
      <x:c r="B1466" s="1" t="inlineStr">
        <x:is>
          <x:t xml:space="preserve">Round2</x:t>
        </x:is>
      </x:c>
      <x:c r="C1466" s="1" t="inlineStr">
        <x:is>
          <x:t xml:space="preserve">JxPath_21</x:t>
        </x:is>
      </x:c>
      <x:c r="D1466" s="1" t="inlineStr">
        <x:is>
          <x:t xml:space="preserve">NOT_AVAILABLE</x:t>
        </x:is>
      </x:c>
      <x:c r="E1466" s="5"/>
      <x:c r="F1466" s="4">
        <x:v>0</x:v>
      </x:c>
      <x:c r="G1466" s="4">
        <x:v>6441</x:v>
      </x:c>
      <x:c r="H1466" s="6">
        <x:v>42.52</x:v>
      </x:c>
      <x:c r="I1466" s="16">
        <x:v>1</x:v>
      </x:c>
      <x:c r="J1466"/>
      <x:c r="K1466" s="4"/>
      <x:c r="L1466" s="4"/>
      <x:c r="M1466" s="4"/>
      <x:c r="N1466" s="5"/>
    </x:row>
    <x:row r="1467" ht="24" customHeight="1">
      <x:c r="A1467" s="1" t="inlineStr">
        <x:is>
          <x:t xml:space="preserve">RESULT</x:t>
        </x:is>
      </x:c>
      <x:c r="B1467" s="1" t="inlineStr">
        <x:is>
          <x:t xml:space="preserve">Round2</x:t>
        </x:is>
      </x:c>
      <x:c r="C1467" s="1" t="inlineStr">
        <x:is>
          <x:t xml:space="preserve">JxPath_22</x:t>
        </x:is>
      </x:c>
      <x:c r="D1467" s="1" t="inlineStr">
        <x:is>
          <x:t xml:space="preserve">NOT_AVAILABLE</x:t>
        </x:is>
      </x:c>
      <x:c r="E1467" s="5"/>
      <x:c r="F1467" s="4">
        <x:v>0</x:v>
      </x:c>
      <x:c r="G1467" s="4">
        <x:v>10298</x:v>
      </x:c>
      <x:c r="H1467" s="6">
        <x:v>22.77</x:v>
      </x:c>
      <x:c r="I1467" s="16">
        <x:v>1</x:v>
      </x:c>
      <x:c r="J1467"/>
      <x:c r="K1467" s="4"/>
      <x:c r="L1467" s="4"/>
      <x:c r="M1467" s="4"/>
      <x:c r="N1467" s="5"/>
    </x:row>
    <x:row r="1468" ht="24" customHeight="1">
      <x:c r="A1468" s="1" t="inlineStr">
        <x:is>
          <x:t xml:space="preserve">RESULT</x:t>
        </x:is>
      </x:c>
      <x:c r="B1468" s="1" t="inlineStr">
        <x:is>
          <x:t xml:space="preserve">Round2</x:t>
        </x:is>
      </x:c>
      <x:c r="C1468" s="1" t="inlineStr">
        <x:is>
          <x:t xml:space="preserve">JxPath_3</x:t>
        </x:is>
      </x:c>
      <x:c r="D1468" s="1" t="inlineStr">
        <x:is>
          <x:t xml:space="preserve">INCONCLUSIVE</x:t>
        </x:is>
      </x:c>
      <x:c r="E1468" s="5">
        <x:v>0.6883</x:v>
      </x:c>
      <x:c r="F1468" s="4">
        <x:v>0</x:v>
      </x:c>
      <x:c r="G1468" s="4">
        <x:v>21628</x:v>
      </x:c>
      <x:c r="H1468" s="6">
        <x:v>910.19</x:v>
      </x:c>
      <x:c r="I1468" s="16">
        <x:v>1</x:v>
      </x:c>
      <x:c r="J1468">
        <x:v>77</x:v>
      </x:c>
      <x:c r="K1468" s="4">
        <x:v>53</x:v>
      </x:c>
      <x:c r="L1468" s="4">
        <x:v>26</x:v>
      </x:c>
      <x:c r="M1468" s="4">
        <x:v>13</x:v>
      </x:c>
      <x:c r="N1468" s="5">
        <x:v>0.5</x:v>
      </x:c>
    </x:row>
    <x:row r="1469" ht="24" customHeight="1">
      <x:c r="A1469" s="1" t="inlineStr">
        <x:is>
          <x:t xml:space="preserve">RESULT</x:t>
        </x:is>
      </x:c>
      <x:c r="B1469" s="1" t="inlineStr">
        <x:is>
          <x:t xml:space="preserve">Round2</x:t>
        </x:is>
      </x:c>
      <x:c r="C1469" s="1" t="inlineStr">
        <x:is>
          <x:t xml:space="preserve">JxPath_4</x:t>
        </x:is>
      </x:c>
      <x:c r="D1469" s="1" t="inlineStr">
        <x:is>
          <x:t xml:space="preserve">NOT_AVAILABLE</x:t>
        </x:is>
      </x:c>
      <x:c r="E1469" s="5"/>
      <x:c r="F1469" s="4">
        <x:v>0</x:v>
      </x:c>
      <x:c r="G1469" s="4">
        <x:v>23762</x:v>
      </x:c>
      <x:c r="H1469" s="6">
        <x:v>104.38</x:v>
      </x:c>
      <x:c r="I1469" s="16">
        <x:v>1</x:v>
      </x:c>
      <x:c r="J1469"/>
      <x:c r="K1469" s="4"/>
      <x:c r="L1469" s="4"/>
      <x:c r="M1469" s="4"/>
      <x:c r="N1469" s="5"/>
    </x:row>
    <x:row r="1470" ht="24" customHeight="1">
      <x:c r="A1470" s="1" t="inlineStr">
        <x:is>
          <x:t xml:space="preserve">RESULT</x:t>
        </x:is>
      </x:c>
      <x:c r="B1470" s="1" t="inlineStr">
        <x:is>
          <x:t xml:space="preserve">Round2</x:t>
        </x:is>
      </x:c>
      <x:c r="C1470" s="1" t="inlineStr">
        <x:is>
          <x:t xml:space="preserve">JxPath_5</x:t>
        </x:is>
      </x:c>
      <x:c r="D1470" s="1" t="inlineStr">
        <x:is>
          <x:t xml:space="preserve">NOT_AVAILABLE</x:t>
        </x:is>
      </x:c>
      <x:c r="E1470" s="5"/>
      <x:c r="F1470" s="4">
        <x:v>0</x:v>
      </x:c>
      <x:c r="G1470" s="4">
        <x:v>11656</x:v>
      </x:c>
      <x:c r="H1470" s="6">
        <x:v>38.65</x:v>
      </x:c>
      <x:c r="I1470" s="16">
        <x:v>1</x:v>
      </x:c>
      <x:c r="J1470"/>
      <x:c r="K1470" s="4"/>
      <x:c r="L1470" s="4"/>
      <x:c r="M1470" s="4"/>
      <x:c r="N1470" s="5"/>
    </x:row>
    <x:row r="1471" ht="24" customHeight="1">
      <x:c r="A1471" s="1" t="inlineStr">
        <x:is>
          <x:t xml:space="preserve">RESULT</x:t>
        </x:is>
      </x:c>
      <x:c r="B1471" s="1" t="inlineStr">
        <x:is>
          <x:t xml:space="preserve">Round2</x:t>
        </x:is>
      </x:c>
      <x:c r="C1471" s="1" t="inlineStr">
        <x:is>
          <x:t xml:space="preserve">JxPath_6</x:t>
        </x:is>
      </x:c>
      <x:c r="D1471" s="1" t="inlineStr">
        <x:is>
          <x:t xml:space="preserve">NOT_AVAILABLE</x:t>
        </x:is>
      </x:c>
      <x:c r="E1471" s="5"/>
      <x:c r="F1471" s="4">
        <x:v>0</x:v>
      </x:c>
      <x:c r="G1471" s="4">
        <x:v>10743</x:v>
      </x:c>
      <x:c r="H1471" s="6">
        <x:v>361.09</x:v>
      </x:c>
      <x:c r="I1471" s="16">
        <x:v>1</x:v>
      </x:c>
      <x:c r="J1471"/>
      <x:c r="K1471" s="4"/>
      <x:c r="L1471" s="4"/>
      <x:c r="M1471" s="4"/>
      <x:c r="N1471" s="5"/>
    </x:row>
    <x:row r="1472" ht="24" customHeight="1">
      <x:c r="A1472" s="1" t="inlineStr">
        <x:is>
          <x:t xml:space="preserve">RESULT</x:t>
        </x:is>
      </x:c>
      <x:c r="B1472" s="1" t="inlineStr">
        <x:is>
          <x:t xml:space="preserve">Round2</x:t>
        </x:is>
      </x:c>
      <x:c r="C1472" s="1" t="inlineStr">
        <x:is>
          <x:t xml:space="preserve">JxPath_7</x:t>
        </x:is>
      </x:c>
      <x:c r="D1472" s="1" t="inlineStr">
        <x:is>
          <x:t xml:space="preserve">NOT_AVAILABLE</x:t>
        </x:is>
      </x:c>
      <x:c r="E1472" s="5"/>
      <x:c r="F1472" s="4">
        <x:v>0</x:v>
      </x:c>
      <x:c r="G1472" s="4">
        <x:v>28799</x:v>
      </x:c>
      <x:c r="H1472" s="6">
        <x:v>218.34</x:v>
      </x:c>
      <x:c r="I1472" s="16">
        <x:v>1</x:v>
      </x:c>
      <x:c r="J1472"/>
      <x:c r="K1472" s="4"/>
      <x:c r="L1472" s="4"/>
      <x:c r="M1472" s="4"/>
      <x:c r="N1472" s="5"/>
    </x:row>
    <x:row r="1473" ht="24" customHeight="1">
      <x:c r="A1473" s="1" t="inlineStr">
        <x:is>
          <x:t xml:space="preserve">RESULT</x:t>
        </x:is>
      </x:c>
      <x:c r="B1473" s="1" t="inlineStr">
        <x:is>
          <x:t xml:space="preserve">Round2</x:t>
        </x:is>
      </x:c>
      <x:c r="C1473" s="1" t="inlineStr">
        <x:is>
          <x:t xml:space="preserve">JxPath_8</x:t>
        </x:is>
      </x:c>
      <x:c r="D1473" s="1" t="inlineStr">
        <x:is>
          <x:t xml:space="preserve">NOT_AVAILABLE</x:t>
        </x:is>
      </x:c>
      <x:c r="E1473" s="5"/>
      <x:c r="F1473" s="4">
        <x:v>0</x:v>
      </x:c>
      <x:c r="G1473" s="4">
        <x:v>11100</x:v>
      </x:c>
      <x:c r="H1473" s="6">
        <x:v>103.26</x:v>
      </x:c>
      <x:c r="I1473" s="16">
        <x:v>1</x:v>
      </x:c>
      <x:c r="J1473"/>
      <x:c r="K1473" s="4"/>
      <x:c r="L1473" s="4"/>
      <x:c r="M1473" s="4"/>
      <x:c r="N1473" s="5"/>
    </x:row>
    <x:row r="1474" ht="24" customHeight="1">
      <x:c r="A1474" s="1" t="inlineStr">
        <x:is>
          <x:t xml:space="preserve">RESULT</x:t>
        </x:is>
      </x:c>
      <x:c r="B1474" s="1" t="inlineStr">
        <x:is>
          <x:t xml:space="preserve">Round2</x:t>
        </x:is>
      </x:c>
      <x:c r="C1474" s="1" t="inlineStr">
        <x:is>
          <x:t xml:space="preserve">JxPath_9</x:t>
        </x:is>
      </x:c>
      <x:c r="D1474" s="1" t="inlineStr">
        <x:is>
          <x:t xml:space="preserve">NOT_AVAILABLE</x:t>
        </x:is>
      </x:c>
      <x:c r="E1474" s="5"/>
      <x:c r="F1474" s="4">
        <x:v>0</x:v>
      </x:c>
      <x:c r="G1474" s="4">
        <x:v>24622</x:v>
      </x:c>
      <x:c r="H1474" s="6">
        <x:v>287.7</x:v>
      </x:c>
      <x:c r="I1474" s="16">
        <x:v>1</x:v>
      </x:c>
      <x:c r="J1474"/>
      <x:c r="K1474" s="4"/>
      <x:c r="L1474" s="4"/>
      <x:c r="M1474" s="4"/>
      <x:c r="N1474" s="5"/>
    </x:row>
    <x:row r="1475" ht="24" customHeight="1">
      <x:c r="A1475" s="1" t="inlineStr">
        <x:is>
          <x:t xml:space="preserve">RESULT</x:t>
        </x:is>
      </x:c>
      <x:c r="B1475" s="1" t="inlineStr">
        <x:is>
          <x:t xml:space="preserve">Round2</x:t>
        </x:is>
      </x:c>
      <x:c r="C1475" s="1" t="inlineStr">
        <x:is>
          <x:t xml:space="preserve">Lang_1</x:t>
        </x:is>
      </x:c>
      <x:c r="D1475" s="1" t="inlineStr">
        <x:is>
          <x:t xml:space="preserve">NOT_REVEALING</x:t>
        </x:is>
      </x:c>
      <x:c r="E1475" s="5">
        <x:v>0.8027</x:v>
      </x:c>
      <x:c r="F1475" s="4">
        <x:v>0</x:v>
      </x:c>
      <x:c r="G1475" s="4">
        <x:v>29505</x:v>
      </x:c>
      <x:c r="H1475" s="6">
        <x:v>985.18</x:v>
      </x:c>
      <x:c r="I1475" s="16">
        <x:v>1</x:v>
      </x:c>
      <x:c r="J1475">
        <x:v>375</x:v>
      </x:c>
      <x:c r="K1475" s="4">
        <x:v>301</x:v>
      </x:c>
      <x:c r="L1475" s="4">
        <x:v>338</x:v>
      </x:c>
      <x:c r="M1475" s="4">
        <x:v>205</x:v>
      </x:c>
      <x:c r="N1475" s="5">
        <x:v>0.6065</x:v>
      </x:c>
    </x:row>
    <x:row r="1476" ht="24" customHeight="1">
      <x:c r="A1476" s="1" t="inlineStr">
        <x:is>
          <x:t xml:space="preserve">RESULT</x:t>
        </x:is>
      </x:c>
      <x:c r="B1476" s="1" t="inlineStr">
        <x:is>
          <x:t xml:space="preserve">Round2</x:t>
        </x:is>
      </x:c>
      <x:c r="C1476" s="1" t="inlineStr">
        <x:is>
          <x:t xml:space="preserve">Lang_10</x:t>
        </x:is>
      </x:c>
      <x:c r="D1476" s="1" t="inlineStr">
        <x:is>
          <x:t xml:space="preserve">NOT_REVEALING</x:t>
        </x:is>
      </x:c>
      <x:c r="E1476" s="5">
        <x:v>0.8172</x:v>
      </x:c>
      <x:c r="F1476" s="4">
        <x:v>0</x:v>
      </x:c>
      <x:c r="G1476" s="4"/>
      <x:c r="H1476" s="6"/>
      <x:c r="I1476" s="16">
        <x:v>1</x:v>
      </x:c>
      <x:c r="J1476">
        <x:v>279</x:v>
      </x:c>
      <x:c r="K1476" s="4">
        <x:v>228</x:v>
      </x:c>
      <x:c r="L1476" s="4">
        <x:v>127</x:v>
      </x:c>
      <x:c r="M1476" s="4">
        <x:v>88</x:v>
      </x:c>
      <x:c r="N1476" s="5">
        <x:v>0.6929000000000001</x:v>
      </x:c>
    </x:row>
    <x:row r="1477" ht="24" customHeight="1">
      <x:c r="A1477" s="1" t="inlineStr">
        <x:is>
          <x:t xml:space="preserve">RESULT</x:t>
        </x:is>
      </x:c>
      <x:c r="B1477" s="1" t="inlineStr">
        <x:is>
          <x:t xml:space="preserve">Round2</x:t>
        </x:is>
      </x:c>
      <x:c r="C1477" s="1" t="inlineStr">
        <x:is>
          <x:t xml:space="preserve">Lang_11</x:t>
        </x:is>
      </x:c>
      <x:c r="D1477" s="1" t="inlineStr">
        <x:is>
          <x:t xml:space="preserve">NOT_REVEALING</x:t>
        </x:is>
      </x:c>
      <x:c r="E1477" s="5">
        <x:v>0.8571</x:v>
      </x:c>
      <x:c r="F1477" s="4">
        <x:v>0</x:v>
      </x:c>
      <x:c r="G1477" s="4">
        <x:v>25833</x:v>
      </x:c>
      <x:c r="H1477" s="6">
        <x:v>672.15</x:v>
      </x:c>
      <x:c r="I1477" s="16">
        <x:v>1</x:v>
      </x:c>
      <x:c r="J1477">
        <x:v>56</x:v>
      </x:c>
      <x:c r="K1477" s="4">
        <x:v>48</x:v>
      </x:c>
      <x:c r="L1477" s="4">
        <x:v>54</x:v>
      </x:c>
      <x:c r="M1477" s="4">
        <x:v>49</x:v>
      </x:c>
      <x:c r="N1477" s="5">
        <x:v>0.9074</x:v>
      </x:c>
    </x:row>
    <x:row r="1478" ht="24" customHeight="1">
      <x:c r="A1478" s="1" t="inlineStr">
        <x:is>
          <x:t xml:space="preserve">RESULT</x:t>
        </x:is>
      </x:c>
      <x:c r="B1478" s="1" t="inlineStr">
        <x:is>
          <x:t xml:space="preserve">Round2</x:t>
        </x:is>
      </x:c>
      <x:c r="C1478" s="1" t="inlineStr">
        <x:is>
          <x:t xml:space="preserve">Lang_12</x:t>
        </x:is>
      </x:c>
      <x:c r="D1478" s="1" t="inlineStr">
        <x:is>
          <x:t xml:space="preserve">NOT_AVAILABLE</x:t>
        </x:is>
      </x:c>
      <x:c r="E1478" s="5"/>
      <x:c r="F1478" s="4">
        <x:v>0</x:v>
      </x:c>
      <x:c r="G1478" s="4">
        <x:v>16435</x:v>
      </x:c>
      <x:c r="H1478" s="6">
        <x:v>170.74</x:v>
      </x:c>
      <x:c r="I1478" s="16">
        <x:v>1</x:v>
      </x:c>
      <x:c r="J1478"/>
      <x:c r="K1478" s="4"/>
      <x:c r="L1478" s="4"/>
      <x:c r="M1478" s="4"/>
      <x:c r="N1478" s="5"/>
    </x:row>
    <x:row r="1479" ht="24" customHeight="1">
      <x:c r="A1479" s="1" t="inlineStr">
        <x:is>
          <x:t xml:space="preserve">RESULT</x:t>
        </x:is>
      </x:c>
      <x:c r="B1479" s="1" t="inlineStr">
        <x:is>
          <x:t xml:space="preserve">Round2</x:t>
        </x:is>
      </x:c>
      <x:c r="C1479" s="1" t="inlineStr">
        <x:is>
          <x:t xml:space="preserve">Lang_13</x:t>
        </x:is>
      </x:c>
      <x:c r="D1479" s="1" t="inlineStr">
        <x:is>
          <x:t xml:space="preserve">INCONCLUSIVE</x:t>
        </x:is>
      </x:c>
      <x:c r="E1479" s="5">
        <x:v>0.6875</x:v>
      </x:c>
      <x:c r="F1479" s="4">
        <x:v>0</x:v>
      </x:c>
      <x:c r="G1479" s="4"/>
      <x:c r="H1479" s="6"/>
      <x:c r="I1479" s="16">
        <x:v>1</x:v>
      </x:c>
      <x:c r="J1479">
        <x:v>64</x:v>
      </x:c>
      <x:c r="K1479" s="4">
        <x:v>44</x:v>
      </x:c>
      <x:c r="L1479" s="4">
        <x:v>14</x:v>
      </x:c>
      <x:c r="M1479" s="4">
        <x:v>12</x:v>
      </x:c>
      <x:c r="N1479" s="5">
        <x:v>0.8571</x:v>
      </x:c>
    </x:row>
    <x:row r="1480" ht="24" customHeight="1">
      <x:c r="A1480" s="1" t="inlineStr">
        <x:is>
          <x:t xml:space="preserve">RESULT</x:t>
        </x:is>
      </x:c>
      <x:c r="B1480" s="1" t="inlineStr">
        <x:is>
          <x:t xml:space="preserve">Round2</x:t>
        </x:is>
      </x:c>
      <x:c r="C1480" s="1" t="inlineStr">
        <x:is>
          <x:t xml:space="preserve">Lang_14</x:t>
        </x:is>
      </x:c>
      <x:c r="D1480" s="1" t="inlineStr">
        <x:is>
          <x:t xml:space="preserve">INCONCLUSIVE</x:t>
        </x:is>
      </x:c>
      <x:c r="E1480" s="5">
        <x:v>0.7624</x:v>
      </x:c>
      <x:c r="F1480" s="4">
        <x:v>0</x:v>
      </x:c>
      <x:c r="G1480" s="4">
        <x:v>26869</x:v>
      </x:c>
      <x:c r="H1480" s="6">
        <x:v>151.51</x:v>
      </x:c>
      <x:c r="I1480" s="16">
        <x:v>1</x:v>
      </x:c>
      <x:c r="J1480">
        <x:v>1292</x:v>
      </x:c>
      <x:c r="K1480" s="4">
        <x:v>985</x:v>
      </x:c>
      <x:c r="L1480" s="4">
        <x:v>1141</x:v>
      </x:c>
      <x:c r="M1480" s="4">
        <x:v>806</x:v>
      </x:c>
      <x:c r="N1480" s="5">
        <x:v>0.7064</x:v>
      </x:c>
    </x:row>
    <x:row r="1481" ht="24" customHeight="1">
      <x:c r="A1481" s="1" t="inlineStr">
        <x:is>
          <x:t xml:space="preserve">RESULT</x:t>
        </x:is>
      </x:c>
      <x:c r="B1481" s="1" t="inlineStr">
        <x:is>
          <x:t xml:space="preserve">Round2</x:t>
        </x:is>
      </x:c>
      <x:c r="C1481" s="1" t="inlineStr">
        <x:is>
          <x:t xml:space="preserve">Lang_15</x:t>
        </x:is>
      </x:c>
      <x:c r="D1481" s="1" t="inlineStr">
        <x:is>
          <x:t xml:space="preserve">INCONCLUSIVE</x:t>
        </x:is>
      </x:c>
      <x:c r="E1481" s="5">
        <x:v>0.5892000000000001</x:v>
      </x:c>
      <x:c r="F1481" s="4">
        <x:v>0</x:v>
      </x:c>
      <x:c r="G1481" s="4">
        <x:v>27520</x:v>
      </x:c>
      <x:c r="H1481" s="6">
        <x:v>176.27</x:v>
      </x:c>
      <x:c r="I1481" s="16">
        <x:v>1</x:v>
      </x:c>
      <x:c r="J1481">
        <x:v>297</x:v>
      </x:c>
      <x:c r="K1481" s="4">
        <x:v>175</x:v>
      </x:c>
      <x:c r="L1481" s="4">
        <x:v>284</x:v>
      </x:c>
      <x:c r="M1481" s="4">
        <x:v>144</x:v>
      </x:c>
      <x:c r="N1481" s="5">
        <x:v>0.507</x:v>
      </x:c>
    </x:row>
    <x:row r="1482" ht="24" customHeight="1">
      <x:c r="A1482" s="1" t="inlineStr">
        <x:is>
          <x:t xml:space="preserve">RESULT</x:t>
        </x:is>
      </x:c>
      <x:c r="B1482" s="1" t="inlineStr">
        <x:is>
          <x:t xml:space="preserve">Round2</x:t>
        </x:is>
      </x:c>
      <x:c r="C1482" s="1" t="inlineStr">
        <x:is>
          <x:t xml:space="preserve">Lang_16</x:t>
        </x:is>
      </x:c>
      <x:c r="D1482" s="1" t="inlineStr">
        <x:is>
          <x:t xml:space="preserve">INCONCLUSIVE</x:t>
        </x:is>
      </x:c>
      <x:c r="E1482" s="5">
        <x:v>0.7733</x:v>
      </x:c>
      <x:c r="F1482" s="4">
        <x:v>0</x:v>
      </x:c>
      <x:c r="G1482" s="4"/>
      <x:c r="H1482" s="6"/>
      <x:c r="I1482" s="16">
        <x:v>1</x:v>
      </x:c>
      <x:c r="J1482">
        <x:v>375</x:v>
      </x:c>
      <x:c r="K1482" s="4">
        <x:v>290</x:v>
      </x:c>
      <x:c r="L1482" s="4">
        <x:v>358</x:v>
      </x:c>
      <x:c r="M1482" s="4">
        <x:v>222</x:v>
      </x:c>
      <x:c r="N1482" s="5">
        <x:v>0.6201</x:v>
      </x:c>
    </x:row>
    <x:row r="1483" ht="24" customHeight="1">
      <x:c r="A1483" s="1" t="inlineStr">
        <x:is>
          <x:t xml:space="preserve">RESULT</x:t>
        </x:is>
      </x:c>
      <x:c r="B1483" s="1" t="inlineStr">
        <x:is>
          <x:t xml:space="preserve">Round2</x:t>
        </x:is>
      </x:c>
      <x:c r="C1483" s="1" t="inlineStr">
        <x:is>
          <x:t xml:space="preserve">Lang_17</x:t>
        </x:is>
      </x:c>
      <x:c r="D1483" s="1" t="inlineStr">
        <x:is>
          <x:t xml:space="preserve">NOT_AVAILABLE</x:t>
        </x:is>
      </x:c>
      <x:c r="E1483" s="5"/>
      <x:c r="F1483" s="4">
        <x:v>0</x:v>
      </x:c>
      <x:c r="G1483" s="4">
        <x:v>23456</x:v>
      </x:c>
      <x:c r="H1483" s="6">
        <x:v>947.93</x:v>
      </x:c>
      <x:c r="I1483" s="16">
        <x:v>1</x:v>
      </x:c>
      <x:c r="J1483"/>
      <x:c r="K1483" s="4"/>
      <x:c r="L1483" s="4"/>
      <x:c r="M1483" s="4"/>
      <x:c r="N1483" s="5"/>
    </x:row>
    <x:row r="1484" ht="24" customHeight="1">
      <x:c r="A1484" s="1" t="inlineStr">
        <x:is>
          <x:t xml:space="preserve">RESULT</x:t>
        </x:is>
      </x:c>
      <x:c r="B1484" s="1" t="inlineStr">
        <x:is>
          <x:t xml:space="preserve">Round2</x:t>
        </x:is>
      </x:c>
      <x:c r="C1484" s="1" t="inlineStr">
        <x:is>
          <x:t xml:space="preserve">Lang_19</x:t>
        </x:is>
      </x:c>
      <x:c r="D1484" s="1" t="inlineStr">
        <x:is>
          <x:t xml:space="preserve">INCONCLUSIVE</x:t>
        </x:is>
      </x:c>
      <x:c r="E1484" s="5">
        <x:v>1.0</x:v>
      </x:c>
      <x:c r="F1484" s="4">
        <x:v>0</x:v>
      </x:c>
      <x:c r="G1484" s="4"/>
      <x:c r="H1484" s="6"/>
      <x:c r="I1484" s="16">
        <x:v>1</x:v>
      </x:c>
      <x:c r="J1484">
        <x:v>27</x:v>
      </x:c>
      <x:c r="K1484" s="4">
        <x:v>27</x:v>
      </x:c>
      <x:c r="L1484" s="4">
        <x:v>18</x:v>
      </x:c>
      <x:c r="M1484" s="4">
        <x:v>17</x:v>
      </x:c>
      <x:c r="N1484" s="5">
        <x:v>0.9444</x:v>
      </x:c>
    </x:row>
    <x:row r="1485" ht="24" customHeight="1">
      <x:c r="A1485" s="1" t="inlineStr">
        <x:is>
          <x:t xml:space="preserve">RESULT</x:t>
        </x:is>
      </x:c>
      <x:c r="B1485" s="1" t="inlineStr">
        <x:is>
          <x:t xml:space="preserve">Round2</x:t>
        </x:is>
      </x:c>
      <x:c r="C1485" s="1" t="inlineStr">
        <x:is>
          <x:t xml:space="preserve">Lang_20</x:t>
        </x:is>
      </x:c>
      <x:c r="D1485" s="1" t="inlineStr">
        <x:is>
          <x:t xml:space="preserve">NOT_REVEALING</x:t>
        </x:is>
      </x:c>
      <x:c r="E1485" s="5">
        <x:v>0.4384</x:v>
      </x:c>
      <x:c r="F1485" s="4">
        <x:v>0</x:v>
      </x:c>
      <x:c r="G1485" s="4">
        <x:v>44443</x:v>
      </x:c>
      <x:c r="H1485" s="6">
        <x:v>1226.45</x:v>
      </x:c>
      <x:c r="I1485" s="16">
        <x:v>1</x:v>
      </x:c>
      <x:c r="J1485">
        <x:v>1298</x:v>
      </x:c>
      <x:c r="K1485" s="4">
        <x:v>569</x:v>
      </x:c>
      <x:c r="L1485" s="4">
        <x:v>1149</x:v>
      </x:c>
      <x:c r="M1485" s="4">
        <x:v>399</x:v>
      </x:c>
      <x:c r="N1485" s="5">
        <x:v>0.34729999999999994</x:v>
      </x:c>
    </x:row>
    <x:row r="1486" ht="24" customHeight="1">
      <x:c r="A1486" s="1" t="inlineStr">
        <x:is>
          <x:t xml:space="preserve">RESULT</x:t>
        </x:is>
      </x:c>
      <x:c r="B1486" s="1" t="inlineStr">
        <x:is>
          <x:t xml:space="preserve">Round2</x:t>
        </x:is>
      </x:c>
      <x:c r="C1486" s="1" t="inlineStr">
        <x:is>
          <x:t xml:space="preserve">Lang_21</x:t>
        </x:is>
      </x:c>
      <x:c r="D1486" s="1" t="inlineStr">
        <x:is>
          <x:t xml:space="preserve">NOT_AVAILABLE</x:t>
        </x:is>
      </x:c>
      <x:c r="E1486" s="5"/>
      <x:c r="F1486" s="4">
        <x:v>0</x:v>
      </x:c>
      <x:c r="G1486" s="4">
        <x:v>30994</x:v>
      </x:c>
      <x:c r="H1486" s="6">
        <x:v>1110.44</x:v>
      </x:c>
      <x:c r="I1486" s="16">
        <x:v>1</x:v>
      </x:c>
      <x:c r="J1486"/>
      <x:c r="K1486" s="4"/>
      <x:c r="L1486" s="4"/>
      <x:c r="M1486" s="4"/>
      <x:c r="N1486" s="5"/>
    </x:row>
    <x:row r="1487" ht="24" customHeight="1">
      <x:c r="A1487" s="1" t="inlineStr">
        <x:is>
          <x:t xml:space="preserve">RESULT</x:t>
        </x:is>
      </x:c>
      <x:c r="B1487" s="1" t="inlineStr">
        <x:is>
          <x:t xml:space="preserve">Round2</x:t>
        </x:is>
      </x:c>
      <x:c r="C1487" s="1" t="inlineStr">
        <x:is>
          <x:t xml:space="preserve">Lang_22</x:t>
        </x:is>
      </x:c>
      <x:c r="D1487" s="1" t="inlineStr">
        <x:is>
          <x:t xml:space="preserve">NOT_AVAILABLE</x:t>
        </x:is>
      </x:c>
      <x:c r="E1487" s="5"/>
      <x:c r="F1487" s="4">
        <x:v>0</x:v>
      </x:c>
      <x:c r="G1487" s="4">
        <x:v>30800</x:v>
      </x:c>
      <x:c r="H1487" s="6">
        <x:v>1217.21</x:v>
      </x:c>
      <x:c r="I1487" s="16">
        <x:v>1</x:v>
      </x:c>
      <x:c r="J1487"/>
      <x:c r="K1487" s="4"/>
      <x:c r="L1487" s="4"/>
      <x:c r="M1487" s="4"/>
      <x:c r="N1487" s="5"/>
    </x:row>
    <x:row r="1488" ht="24" customHeight="1">
      <x:c r="A1488" s="1" t="inlineStr">
        <x:is>
          <x:t xml:space="preserve">RESULT</x:t>
        </x:is>
      </x:c>
      <x:c r="B1488" s="1" t="inlineStr">
        <x:is>
          <x:t xml:space="preserve">Round2</x:t>
        </x:is>
      </x:c>
      <x:c r="C1488" s="1" t="inlineStr">
        <x:is>
          <x:t xml:space="preserve">Lang_23</x:t>
        </x:is>
      </x:c>
      <x:c r="D1488" s="1" t="inlineStr">
        <x:is>
          <x:t xml:space="preserve">INCONCLUSIVE</x:t>
        </x:is>
      </x:c>
      <x:c r="E1488" s="5">
        <x:v>0.521</x:v>
      </x:c>
      <x:c r="F1488" s="4">
        <x:v>0</x:v>
      </x:c>
      <x:c r="G1488" s="4"/>
      <x:c r="H1488" s="6"/>
      <x:c r="I1488" s="16">
        <x:v>1</x:v>
      </x:c>
      <x:c r="J1488">
        <x:v>167</x:v>
      </x:c>
      <x:c r="K1488" s="4">
        <x:v>87</x:v>
      </x:c>
      <x:c r="L1488" s="4">
        <x:v>99</x:v>
      </x:c>
      <x:c r="M1488" s="4">
        <x:v>30</x:v>
      </x:c>
      <x:c r="N1488" s="5">
        <x:v>0.303</x:v>
      </x:c>
    </x:row>
    <x:row r="1489" ht="24" customHeight="1">
      <x:c r="A1489" s="1" t="inlineStr">
        <x:is>
          <x:t xml:space="preserve">RESULT</x:t>
        </x:is>
      </x:c>
      <x:c r="B1489" s="1" t="inlineStr">
        <x:is>
          <x:t xml:space="preserve">Round2</x:t>
        </x:is>
      </x:c>
      <x:c r="C1489" s="1" t="inlineStr">
        <x:is>
          <x:t xml:space="preserve">Lang_24</x:t>
        </x:is>
      </x:c>
      <x:c r="D1489" s="1" t="inlineStr">
        <x:is>
          <x:t xml:space="preserve">INCONCLUSIVE</x:t>
        </x:is>
      </x:c>
      <x:c r="E1489" s="5">
        <x:v>0.6489</x:v>
      </x:c>
      <x:c r="F1489" s="4">
        <x:v>0</x:v>
      </x:c>
      <x:c r="G1489" s="4"/>
      <x:c r="H1489" s="6"/>
      <x:c r="I1489" s="16">
        <x:v>1</x:v>
      </x:c>
      <x:c r="J1489">
        <x:v>376</x:v>
      </x:c>
      <x:c r="K1489" s="4">
        <x:v>244</x:v>
      </x:c>
      <x:c r="L1489" s="4">
        <x:v>356</x:v>
      </x:c>
      <x:c r="M1489" s="4">
        <x:v>161</x:v>
      </x:c>
      <x:c r="N1489" s="5">
        <x:v>0.4522</x:v>
      </x:c>
    </x:row>
    <x:row r="1490" ht="24" customHeight="1">
      <x:c r="A1490" s="1" t="inlineStr">
        <x:is>
          <x:t xml:space="preserve">RESULT</x:t>
        </x:is>
      </x:c>
      <x:c r="B1490" s="1" t="inlineStr">
        <x:is>
          <x:t xml:space="preserve">Round2</x:t>
        </x:is>
      </x:c>
      <x:c r="C1490" s="1" t="inlineStr">
        <x:is>
          <x:t xml:space="preserve">Lang_26</x:t>
        </x:is>
      </x:c>
      <x:c r="D1490" s="1" t="inlineStr">
        <x:is>
          <x:t xml:space="preserve">INCONCLUSIVE</x:t>
        </x:is>
      </x:c>
      <x:c r="E1490" s="5">
        <x:v>0.8538</x:v>
      </x:c>
      <x:c r="F1490" s="4">
        <x:v>0</x:v>
      </x:c>
      <x:c r="G1490" s="4"/>
      <x:c r="H1490" s="6"/>
      <x:c r="I1490" s="16">
        <x:v>1</x:v>
      </x:c>
      <x:c r="J1490">
        <x:v>465</x:v>
      </x:c>
      <x:c r="K1490" s="4">
        <x:v>397</x:v>
      </x:c>
      <x:c r="L1490" s="4">
        <x:v>228</x:v>
      </x:c>
      <x:c r="M1490" s="4">
        <x:v>156</x:v>
      </x:c>
      <x:c r="N1490" s="5">
        <x:v>0.6842</x:v>
      </x:c>
    </x:row>
    <x:row r="1491" ht="24" customHeight="1">
      <x:c r="A1491" s="1" t="inlineStr">
        <x:is>
          <x:t xml:space="preserve">RESULT</x:t>
        </x:is>
      </x:c>
      <x:c r="B1491" s="1" t="inlineStr">
        <x:is>
          <x:t xml:space="preserve">Round2</x:t>
        </x:is>
      </x:c>
      <x:c r="C1491" s="1" t="inlineStr">
        <x:is>
          <x:t xml:space="preserve">Lang_27</x:t>
        </x:is>
      </x:c>
      <x:c r="D1491" s="1" t="inlineStr">
        <x:is>
          <x:t xml:space="preserve">INCONCLUSIVE</x:t>
        </x:is>
      </x:c>
      <x:c r="E1491" s="5">
        <x:v>0.7086</x:v>
      </x:c>
      <x:c r="F1491" s="4">
        <x:v>0</x:v>
      </x:c>
      <x:c r="G1491" s="4"/>
      <x:c r="H1491" s="6"/>
      <x:c r="I1491" s="16">
        <x:v>1</x:v>
      </x:c>
      <x:c r="J1491">
        <x:v>374</x:v>
      </x:c>
      <x:c r="K1491" s="4">
        <x:v>265</x:v>
      </x:c>
      <x:c r="L1491" s="4">
        <x:v>352</x:v>
      </x:c>
      <x:c r="M1491" s="4">
        <x:v>197</x:v>
      </x:c>
      <x:c r="N1491" s="5">
        <x:v>0.5597</x:v>
      </x:c>
    </x:row>
    <x:row r="1492" ht="24" customHeight="1">
      <x:c r="A1492" s="1" t="inlineStr">
        <x:is>
          <x:t xml:space="preserve">RESULT</x:t>
        </x:is>
      </x:c>
      <x:c r="B1492" s="1" t="inlineStr">
        <x:is>
          <x:t xml:space="preserve">Round2</x:t>
        </x:is>
      </x:c>
      <x:c r="C1492" s="1" t="inlineStr">
        <x:is>
          <x:t xml:space="preserve">Lang_28</x:t>
        </x:is>
      </x:c>
      <x:c r="D1492" s="1" t="inlineStr">
        <x:is>
          <x:t xml:space="preserve">INCONCLUSIVE</x:t>
        </x:is>
      </x:c>
      <x:c r="E1492" s="5">
        <x:v>0.95</x:v>
      </x:c>
      <x:c r="F1492" s="4">
        <x:v>0</x:v>
      </x:c>
      <x:c r="G1492" s="4"/>
      <x:c r="H1492" s="6"/>
      <x:c r="I1492" s="16">
        <x:v>1</x:v>
      </x:c>
      <x:c r="J1492">
        <x:v>20</x:v>
      </x:c>
      <x:c r="K1492" s="4">
        <x:v>19</x:v>
      </x:c>
      <x:c r="L1492" s="4">
        <x:v>14</x:v>
      </x:c>
      <x:c r="M1492" s="4">
        <x:v>12</x:v>
      </x:c>
      <x:c r="N1492" s="5">
        <x:v>0.8571</x:v>
      </x:c>
    </x:row>
    <x:row r="1493" ht="24" customHeight="1">
      <x:c r="A1493" s="1" t="inlineStr">
        <x:is>
          <x:t xml:space="preserve">RESULT</x:t>
        </x:is>
      </x:c>
      <x:c r="B1493" s="1" t="inlineStr">
        <x:is>
          <x:t xml:space="preserve">Round2</x:t>
        </x:is>
      </x:c>
      <x:c r="C1493" s="1" t="inlineStr">
        <x:is>
          <x:t xml:space="preserve">Lang_29</x:t>
        </x:is>
      </x:c>
      <x:c r="D1493" s="1" t="inlineStr">
        <x:is>
          <x:t xml:space="preserve">NOT_REVEALING</x:t>
        </x:is>
      </x:c>
      <x:c r="E1493" s="5">
        <x:v>0.9290999999999999</x:v>
      </x:c>
      <x:c r="F1493" s="4">
        <x:v>0</x:v>
      </x:c>
      <x:c r="G1493" s="4">
        <x:v>27351</x:v>
      </x:c>
      <x:c r="H1493" s="6">
        <x:v>1115.59</x:v>
      </x:c>
      <x:c r="I1493" s="16">
        <x:v>1</x:v>
      </x:c>
      <x:c r="J1493">
        <x:v>141</x:v>
      </x:c>
      <x:c r="K1493" s="4">
        <x:v>131</x:v>
      </x:c>
      <x:c r="L1493" s="4">
        <x:v>50</x:v>
      </x:c>
      <x:c r="M1493" s="4">
        <x:v>43</x:v>
      </x:c>
      <x:c r="N1493" s="5">
        <x:v>0.86</x:v>
      </x:c>
    </x:row>
    <x:row r="1494" ht="24" customHeight="1">
      <x:c r="A1494" s="1" t="inlineStr">
        <x:is>
          <x:t xml:space="preserve">RESULT</x:t>
        </x:is>
      </x:c>
      <x:c r="B1494" s="1" t="inlineStr">
        <x:is>
          <x:t xml:space="preserve">Round2</x:t>
        </x:is>
      </x:c>
      <x:c r="C1494" s="1" t="inlineStr">
        <x:is>
          <x:t xml:space="preserve">Lang_3</x:t>
        </x:is>
      </x:c>
      <x:c r="D1494" s="1" t="inlineStr">
        <x:is>
          <x:t xml:space="preserve">INCONCLUSIVE</x:t>
        </x:is>
      </x:c>
      <x:c r="E1494" s="5">
        <x:v>0.6568</x:v>
      </x:c>
      <x:c r="F1494" s="4">
        <x:v>0</x:v>
      </x:c>
      <x:c r="G1494" s="4">
        <x:v>9217</x:v>
      </x:c>
      <x:c r="H1494" s="6">
        <x:v>35.18</x:v>
      </x:c>
      <x:c r="I1494" s="16">
        <x:v>1</x:v>
      </x:c>
      <x:c r="J1494">
        <x:v>373</x:v>
      </x:c>
      <x:c r="K1494" s="4">
        <x:v>245</x:v>
      </x:c>
      <x:c r="L1494" s="4">
        <x:v>334</x:v>
      </x:c>
      <x:c r="M1494" s="4">
        <x:v>176</x:v>
      </x:c>
      <x:c r="N1494" s="5">
        <x:v>0.5268999999999999</x:v>
      </x:c>
    </x:row>
    <x:row r="1495" ht="24" customHeight="1">
      <x:c r="A1495" s="1" t="inlineStr">
        <x:is>
          <x:t xml:space="preserve">RESULT</x:t>
        </x:is>
      </x:c>
      <x:c r="B1495" s="1" t="inlineStr">
        <x:is>
          <x:t xml:space="preserve">Round2</x:t>
        </x:is>
      </x:c>
      <x:c r="C1495" s="1" t="inlineStr">
        <x:is>
          <x:t xml:space="preserve">Lang_30</x:t>
        </x:is>
      </x:c>
      <x:c r="D1495" s="1" t="inlineStr">
        <x:is>
          <x:t xml:space="preserve">NOT_AVAILABLE</x:t>
        </x:is>
      </x:c>
      <x:c r="E1495" s="5"/>
      <x:c r="F1495" s="4">
        <x:v>0</x:v>
      </x:c>
      <x:c r="G1495" s="4">
        <x:v>31057</x:v>
      </x:c>
      <x:c r="H1495" s="6">
        <x:v>191.59</x:v>
      </x:c>
      <x:c r="I1495" s="16">
        <x:v>1</x:v>
      </x:c>
      <x:c r="J1495"/>
      <x:c r="K1495" s="4"/>
      <x:c r="L1495" s="4"/>
      <x:c r="M1495" s="4"/>
      <x:c r="N1495" s="5"/>
    </x:row>
    <x:row r="1496" ht="24" customHeight="1">
      <x:c r="A1496" s="1" t="inlineStr">
        <x:is>
          <x:t xml:space="preserve">RESULT</x:t>
        </x:is>
      </x:c>
      <x:c r="B1496" s="1" t="inlineStr">
        <x:is>
          <x:t xml:space="preserve">Round2</x:t>
        </x:is>
      </x:c>
      <x:c r="C1496" s="1" t="inlineStr">
        <x:is>
          <x:t xml:space="preserve">Lang_31</x:t>
        </x:is>
      </x:c>
      <x:c r="D1496" s="1" t="inlineStr">
        <x:is>
          <x:t xml:space="preserve">INCONCLUSIVE</x:t>
        </x:is>
      </x:c>
      <x:c r="E1496" s="5">
        <x:v>0.21309999999999998</x:v>
      </x:c>
      <x:c r="F1496" s="4">
        <x:v>0</x:v>
      </x:c>
      <x:c r="G1496" s="4">
        <x:v>18836</x:v>
      </x:c>
      <x:c r="H1496" s="6">
        <x:v>28.62</x:v>
      </x:c>
      <x:c r="I1496" s="16">
        <x:v>1</x:v>
      </x:c>
      <x:c r="J1496">
        <x:v>1178</x:v>
      </x:c>
      <x:c r="K1496" s="4">
        <x:v>251</x:v>
      </x:c>
      <x:c r="L1496" s="4">
        <x:v>1045</x:v>
      </x:c>
      <x:c r="M1496" s="4">
        <x:v>187</x:v>
      </x:c>
      <x:c r="N1496" s="5">
        <x:v>0.1789</x:v>
      </x:c>
    </x:row>
    <x:row r="1497" ht="24" customHeight="1">
      <x:c r="A1497" s="1" t="inlineStr">
        <x:is>
          <x:t xml:space="preserve">RESULT</x:t>
        </x:is>
      </x:c>
      <x:c r="B1497" s="1" t="inlineStr">
        <x:is>
          <x:t xml:space="preserve">Round2</x:t>
        </x:is>
      </x:c>
      <x:c r="C1497" s="1" t="inlineStr">
        <x:is>
          <x:t xml:space="preserve">Lang_32</x:t>
        </x:is>
      </x:c>
      <x:c r="D1497" s="1" t="inlineStr">
        <x:is>
          <x:t xml:space="preserve">INCONCLUSIVE</x:t>
        </x:is>
      </x:c>
      <x:c r="E1497" s="5">
        <x:v>0.8219</x:v>
      </x:c>
      <x:c r="F1497" s="4">
        <x:v>0</x:v>
      </x:c>
      <x:c r="G1497" s="4">
        <x:v>10550</x:v>
      </x:c>
      <x:c r="H1497" s="6">
        <x:v>73.15</x:v>
      </x:c>
      <x:c r="I1497" s="16">
        <x:v>1</x:v>
      </x:c>
      <x:c r="J1497">
        <x:v>146</x:v>
      </x:c>
      <x:c r="K1497" s="4">
        <x:v>120</x:v>
      </x:c>
      <x:c r="L1497" s="4">
        <x:v>86</x:v>
      </x:c>
      <x:c r="M1497" s="4">
        <x:v>68</x:v>
      </x:c>
      <x:c r="N1497" s="5">
        <x:v>0.7907</x:v>
      </x:c>
    </x:row>
    <x:row r="1498" ht="24" customHeight="1">
      <x:c r="A1498" s="1" t="inlineStr">
        <x:is>
          <x:t xml:space="preserve">RESULT</x:t>
        </x:is>
      </x:c>
      <x:c r="B1498" s="1" t="inlineStr">
        <x:is>
          <x:t xml:space="preserve">Round2</x:t>
        </x:is>
      </x:c>
      <x:c r="C1498" s="1" t="inlineStr">
        <x:is>
          <x:t xml:space="preserve">Lang_33</x:t>
        </x:is>
      </x:c>
      <x:c r="D1498" s="1" t="inlineStr">
        <x:is>
          <x:t xml:space="preserve">NOT_AVAILABLE</x:t>
        </x:is>
      </x:c>
      <x:c r="E1498" s="5"/>
      <x:c r="F1498" s="4">
        <x:v>0</x:v>
      </x:c>
      <x:c r="G1498" s="4">
        <x:v>14594</x:v>
      </x:c>
      <x:c r="H1498" s="6">
        <x:v>105.59</x:v>
      </x:c>
      <x:c r="I1498" s="16">
        <x:v>1</x:v>
      </x:c>
      <x:c r="J1498"/>
      <x:c r="K1498" s="4"/>
      <x:c r="L1498" s="4"/>
      <x:c r="M1498" s="4"/>
      <x:c r="N1498" s="5"/>
    </x:row>
    <x:row r="1499" ht="24" customHeight="1">
      <x:c r="A1499" s="1" t="inlineStr">
        <x:is>
          <x:t xml:space="preserve">RESULT</x:t>
        </x:is>
      </x:c>
      <x:c r="B1499" s="1" t="inlineStr">
        <x:is>
          <x:t xml:space="preserve">Round2</x:t>
        </x:is>
      </x:c>
      <x:c r="C1499" s="1" t="inlineStr">
        <x:is>
          <x:t xml:space="preserve">Lang_34</x:t>
        </x:is>
      </x:c>
      <x:c r="D1499" s="1" t="inlineStr">
        <x:is>
          <x:t xml:space="preserve">INCONCLUSIVE</x:t>
        </x:is>
      </x:c>
      <x:c r="E1499" s="5">
        <x:v>0.8776999999999999</x:v>
      </x:c>
      <x:c r="F1499" s="4">
        <x:v>0</x:v>
      </x:c>
      <x:c r="G1499" s="4">
        <x:v>13115</x:v>
      </x:c>
      <x:c r="H1499" s="6">
        <x:v>58.99</x:v>
      </x:c>
      <x:c r="I1499" s="16">
        <x:v>1</x:v>
      </x:c>
      <x:c r="J1499">
        <x:v>515</x:v>
      </x:c>
      <x:c r="K1499" s="4">
        <x:v>452</x:v>
      </x:c>
      <x:c r="L1499" s="4">
        <x:v>216</x:v>
      </x:c>
      <x:c r="M1499" s="4">
        <x:v>156</x:v>
      </x:c>
      <x:c r="N1499" s="5">
        <x:v>0.7222</x:v>
      </x:c>
    </x:row>
    <x:row r="1500" ht="24" customHeight="1">
      <x:c r="A1500" s="1" t="inlineStr">
        <x:is>
          <x:t xml:space="preserve">RESULT</x:t>
        </x:is>
      </x:c>
      <x:c r="B1500" s="1" t="inlineStr">
        <x:is>
          <x:t xml:space="preserve">Round2</x:t>
        </x:is>
      </x:c>
      <x:c r="C1500" s="1" t="inlineStr">
        <x:is>
          <x:t xml:space="preserve">Lang_35</x:t>
        </x:is>
      </x:c>
      <x:c r="D1500" s="1" t="inlineStr">
        <x:is>
          <x:t xml:space="preserve">INCONCLUSIVE</x:t>
        </x:is>
      </x:c>
      <x:c r="E1500" s="5">
        <x:v>0.166</x:v>
      </x:c>
      <x:c r="F1500" s="4">
        <x:v>0</x:v>
      </x:c>
      <x:c r="G1500" s="4">
        <x:v>17542</x:v>
      </x:c>
      <x:c r="H1500" s="6">
        <x:v>28.62</x:v>
      </x:c>
      <x:c r="I1500" s="16">
        <x:v>1</x:v>
      </x:c>
      <x:c r="J1500">
        <x:v>964</x:v>
      </x:c>
      <x:c r="K1500" s="4">
        <x:v>160</x:v>
      </x:c>
      <x:c r="L1500" s="4">
        <x:v>806</x:v>
      </x:c>
      <x:c r="M1500" s="4">
        <x:v>110</x:v>
      </x:c>
      <x:c r="N1500" s="5">
        <x:v>0.1365</x:v>
      </x:c>
    </x:row>
    <x:row r="1501" ht="24" customHeight="1">
      <x:c r="A1501" s="1" t="inlineStr">
        <x:is>
          <x:t xml:space="preserve">RESULT</x:t>
        </x:is>
      </x:c>
      <x:c r="B1501" s="1" t="inlineStr">
        <x:is>
          <x:t xml:space="preserve">Round2</x:t>
        </x:is>
      </x:c>
      <x:c r="C1501" s="1" t="inlineStr">
        <x:is>
          <x:t xml:space="preserve">Lang_36</x:t>
        </x:is>
      </x:c>
      <x:c r="D1501" s="1" t="inlineStr">
        <x:is>
          <x:t xml:space="preserve">NOT_AVAILABLE</x:t>
        </x:is>
      </x:c>
      <x:c r="E1501" s="5"/>
      <x:c r="F1501" s="4">
        <x:v>0</x:v>
      </x:c>
      <x:c r="G1501" s="4">
        <x:v>10575</x:v>
      </x:c>
      <x:c r="H1501" s="6">
        <x:v>50.64</x:v>
      </x:c>
      <x:c r="I1501" s="16">
        <x:v>1</x:v>
      </x:c>
      <x:c r="J1501"/>
      <x:c r="K1501" s="4"/>
      <x:c r="L1501" s="4"/>
      <x:c r="M1501" s="4"/>
      <x:c r="N1501" s="5"/>
    </x:row>
    <x:row r="1502" ht="24" customHeight="1">
      <x:c r="A1502" s="1" t="inlineStr">
        <x:is>
          <x:t xml:space="preserve">RESULT</x:t>
        </x:is>
      </x:c>
      <x:c r="B1502" s="1" t="inlineStr">
        <x:is>
          <x:t xml:space="preserve">Round2</x:t>
        </x:is>
      </x:c>
      <x:c r="C1502" s="1" t="inlineStr">
        <x:is>
          <x:t xml:space="preserve">Lang_37</x:t>
        </x:is>
      </x:c>
      <x:c r="D1502" s="1" t="inlineStr">
        <x:is>
          <x:t xml:space="preserve">NOT_REVEALING</x:t>
        </x:is>
      </x:c>
      <x:c r="E1502" s="5">
        <x:v>0.225</x:v>
      </x:c>
      <x:c r="F1502" s="4">
        <x:v>0</x:v>
      </x:c>
      <x:c r="G1502" s="4">
        <x:v>18859</x:v>
      </x:c>
      <x:c r="H1502" s="6">
        <x:v>85.49</x:v>
      </x:c>
      <x:c r="I1502" s="16">
        <x:v>1</x:v>
      </x:c>
      <x:c r="J1502">
        <x:v>951</x:v>
      </x:c>
      <x:c r="K1502" s="4">
        <x:v>214</x:v>
      </x:c>
      <x:c r="L1502" s="4">
        <x:v>804</x:v>
      </x:c>
      <x:c r="M1502" s="4">
        <x:v>135</x:v>
      </x:c>
      <x:c r="N1502" s="5">
        <x:v>0.1679</x:v>
      </x:c>
    </x:row>
    <x:row r="1503" ht="24" customHeight="1">
      <x:c r="A1503" s="1" t="inlineStr">
        <x:is>
          <x:t xml:space="preserve">RESULT</x:t>
        </x:is>
      </x:c>
      <x:c r="B1503" s="1" t="inlineStr">
        <x:is>
          <x:t xml:space="preserve">Round2</x:t>
        </x:is>
      </x:c>
      <x:c r="C1503" s="1" t="inlineStr">
        <x:is>
          <x:t xml:space="preserve">Lang_38</x:t>
        </x:is>
      </x:c>
      <x:c r="D1503" s="1" t="inlineStr">
        <x:is>
          <x:t xml:space="preserve">REVEALING</x:t>
        </x:is>
      </x:c>
      <x:c r="E1503" s="5">
        <x:v>0.7759</x:v>
      </x:c>
      <x:c r="F1503" s="4">
        <x:v>1</x:v>
      </x:c>
      <x:c r="G1503" s="4"/>
      <x:c r="H1503" s="6"/>
      <x:c r="I1503" s="16">
        <x:v>1</x:v>
      </x:c>
      <x:c r="J1503">
        <x:v>464</x:v>
      </x:c>
      <x:c r="K1503" s="4">
        <x:v>360</x:v>
      </x:c>
      <x:c r="L1503" s="4">
        <x:v>228</x:v>
      </x:c>
      <x:c r="M1503" s="4">
        <x:v>136</x:v>
      </x:c>
      <x:c r="N1503" s="5">
        <x:v>0.5965</x:v>
      </x:c>
    </x:row>
    <x:row r="1504" ht="24" customHeight="1">
      <x:c r="A1504" s="1" t="inlineStr">
        <x:is>
          <x:t xml:space="preserve">RESULT</x:t>
        </x:is>
      </x:c>
      <x:c r="B1504" s="1" t="inlineStr">
        <x:is>
          <x:t xml:space="preserve">Round2</x:t>
        </x:is>
      </x:c>
      <x:c r="C1504" s="1" t="inlineStr">
        <x:is>
          <x:t xml:space="preserve">Lang_39</x:t>
        </x:is>
      </x:c>
      <x:c r="D1504" s="1" t="inlineStr">
        <x:is>
          <x:t xml:space="preserve">INCONCLUSIVE</x:t>
        </x:is>
      </x:c>
      <x:c r="E1504" s="5">
        <x:v>0.2309</x:v>
      </x:c>
      <x:c r="F1504" s="4">
        <x:v>0</x:v>
      </x:c>
      <x:c r="G1504" s="4">
        <x:v>18079</x:v>
      </x:c>
      <x:c r="H1504" s="6">
        <x:v>41.74</x:v>
      </x:c>
      <x:c r="I1504" s="16">
        <x:v>1</x:v>
      </x:c>
      <x:c r="J1504">
        <x:v>1126</x:v>
      </x:c>
      <x:c r="K1504" s="4">
        <x:v>260</x:v>
      </x:c>
      <x:c r="L1504" s="4">
        <x:v>1005</x:v>
      </x:c>
      <x:c r="M1504" s="4">
        <x:v>220</x:v>
      </x:c>
      <x:c r="N1504" s="5">
        <x:v>0.2189</x:v>
      </x:c>
    </x:row>
    <x:row r="1505" ht="24" customHeight="1">
      <x:c r="A1505" s="1" t="inlineStr">
        <x:is>
          <x:t xml:space="preserve">RESULT</x:t>
        </x:is>
      </x:c>
      <x:c r="B1505" s="1" t="inlineStr">
        <x:is>
          <x:t xml:space="preserve">Round2</x:t>
        </x:is>
      </x:c>
      <x:c r="C1505" s="1" t="inlineStr">
        <x:is>
          <x:t xml:space="preserve">Lang_4</x:t>
        </x:is>
      </x:c>
      <x:c r="D1505" s="1" t="inlineStr">
        <x:is>
          <x:t xml:space="preserve">INCONCLUSIVE</x:t>
        </x:is>
      </x:c>
      <x:c r="E1505" s="5">
        <x:v>1.0</x:v>
      </x:c>
      <x:c r="F1505" s="4">
        <x:v>0</x:v>
      </x:c>
      <x:c r="G1505" s="4"/>
      <x:c r="H1505" s="6"/>
      <x:c r="I1505" s="16">
        <x:v>1</x:v>
      </x:c>
      <x:c r="J1505">
        <x:v>25</x:v>
      </x:c>
      <x:c r="K1505" s="4">
        <x:v>25</x:v>
      </x:c>
      <x:c r="L1505" s="4">
        <x:v>14</x:v>
      </x:c>
      <x:c r="M1505" s="4">
        <x:v>14</x:v>
      </x:c>
      <x:c r="N1505" s="5">
        <x:v>1.0</x:v>
      </x:c>
    </x:row>
    <x:row r="1506" ht="24" customHeight="1">
      <x:c r="A1506" s="1" t="inlineStr">
        <x:is>
          <x:t xml:space="preserve">RESULT</x:t>
        </x:is>
      </x:c>
      <x:c r="B1506" s="1" t="inlineStr">
        <x:is>
          <x:t xml:space="preserve">Round2</x:t>
        </x:is>
      </x:c>
      <x:c r="C1506" s="1" t="inlineStr">
        <x:is>
          <x:t xml:space="preserve">Lang_40</x:t>
        </x:is>
      </x:c>
      <x:c r="D1506" s="1" t="inlineStr">
        <x:is>
          <x:t xml:space="preserve">INCONCLUSIVE</x:t>
        </x:is>
      </x:c>
      <x:c r="E1506" s="5">
        <x:v>0.25</x:v>
      </x:c>
      <x:c r="F1506" s="4">
        <x:v>0</x:v>
      </x:c>
      <x:c r="G1506" s="4">
        <x:v>17226</x:v>
      </x:c>
      <x:c r="H1506" s="6">
        <x:v>25.38</x:v>
      </x:c>
      <x:c r="I1506" s="16">
        <x:v>1</x:v>
      </x:c>
      <x:c r="J1506">
        <x:v>1096</x:v>
      </x:c>
      <x:c r="K1506" s="4">
        <x:v>274</x:v>
      </x:c>
      <x:c r="L1506" s="4">
        <x:v>997</x:v>
      </x:c>
      <x:c r="M1506" s="4">
        <x:v>209</x:v>
      </x:c>
      <x:c r="N1506" s="5">
        <x:v>0.2096</x:v>
      </x:c>
    </x:row>
    <x:row r="1507" ht="24" customHeight="1">
      <x:c r="A1507" s="1" t="inlineStr">
        <x:is>
          <x:t xml:space="preserve">RESULT</x:t>
        </x:is>
      </x:c>
      <x:c r="B1507" s="1" t="inlineStr">
        <x:is>
          <x:t xml:space="preserve">Round2</x:t>
        </x:is>
      </x:c>
      <x:c r="C1507" s="1" t="inlineStr">
        <x:is>
          <x:t xml:space="preserve">Lang_41</x:t>
        </x:is>
      </x:c>
      <x:c r="D1507" s="1" t="inlineStr">
        <x:is>
          <x:t xml:space="preserve">NOT_AVAILABLE</x:t>
        </x:is>
      </x:c>
      <x:c r="E1507" s="5"/>
      <x:c r="F1507" s="4">
        <x:v>0</x:v>
      </x:c>
      <x:c r="G1507" s="4">
        <x:v>9752</x:v>
      </x:c>
      <x:c r="H1507" s="6">
        <x:v>47.56</x:v>
      </x:c>
      <x:c r="I1507" s="16">
        <x:v>1</x:v>
      </x:c>
      <x:c r="J1507"/>
      <x:c r="K1507" s="4"/>
      <x:c r="L1507" s="4"/>
      <x:c r="M1507" s="4"/>
      <x:c r="N1507" s="5"/>
    </x:row>
    <x:row r="1508" ht="24" customHeight="1">
      <x:c r="A1508" s="1" t="inlineStr">
        <x:is>
          <x:t xml:space="preserve">RESULT</x:t>
        </x:is>
      </x:c>
      <x:c r="B1508" s="1" t="inlineStr">
        <x:is>
          <x:t xml:space="preserve">Round2</x:t>
        </x:is>
      </x:c>
      <x:c r="C1508" s="1" t="inlineStr">
        <x:is>
          <x:t xml:space="preserve">Lang_42</x:t>
        </x:is>
      </x:c>
      <x:c r="D1508" s="1" t="inlineStr">
        <x:is>
          <x:t xml:space="preserve">INCONCLUSIVE</x:t>
        </x:is>
      </x:c>
      <x:c r="E1508" s="5">
        <x:v>0.5652</x:v>
      </x:c>
      <x:c r="F1508" s="4">
        <x:v>0</x:v>
      </x:c>
      <x:c r="G1508" s="4">
        <x:v>11569</x:v>
      </x:c>
      <x:c r="H1508" s="6">
        <x:v>66.71</x:v>
      </x:c>
      <x:c r="I1508" s="16">
        <x:v>1</x:v>
      </x:c>
      <x:c r="J1508">
        <x:v>207</x:v>
      </x:c>
      <x:c r="K1508" s="4">
        <x:v>117</x:v>
      </x:c>
      <x:c r="L1508" s="4">
        <x:v>64</x:v>
      </x:c>
      <x:c r="M1508" s="4">
        <x:v>38</x:v>
      </x:c>
      <x:c r="N1508" s="5">
        <x:v>0.5938</x:v>
      </x:c>
    </x:row>
    <x:row r="1509" ht="24" customHeight="1">
      <x:c r="A1509" s="1" t="inlineStr">
        <x:is>
          <x:t xml:space="preserve">RESULT</x:t>
        </x:is>
      </x:c>
      <x:c r="B1509" s="1" t="inlineStr">
        <x:is>
          <x:t xml:space="preserve">Round2</x:t>
        </x:is>
      </x:c>
      <x:c r="C1509" s="1" t="inlineStr">
        <x:is>
          <x:t xml:space="preserve">Lang_43</x:t>
        </x:is>
      </x:c>
      <x:c r="D1509" s="1" t="inlineStr">
        <x:is>
          <x:t xml:space="preserve">NOT_AVAILABLE</x:t>
        </x:is>
      </x:c>
      <x:c r="E1509" s="5"/>
      <x:c r="F1509" s="4">
        <x:v>0</x:v>
      </x:c>
      <x:c r="G1509" s="4">
        <x:v>6737</x:v>
      </x:c>
      <x:c r="H1509" s="6">
        <x:v>26.91</x:v>
      </x:c>
      <x:c r="I1509" s="16">
        <x:v>1</x:v>
      </x:c>
      <x:c r="J1509"/>
      <x:c r="K1509" s="4"/>
      <x:c r="L1509" s="4"/>
      <x:c r="M1509" s="4"/>
      <x:c r="N1509" s="5"/>
    </x:row>
    <x:row r="1510" ht="24" customHeight="1">
      <x:c r="A1510" s="1" t="inlineStr">
        <x:is>
          <x:t xml:space="preserve">RESULT</x:t>
        </x:is>
      </x:c>
      <x:c r="B1510" s="1" t="inlineStr">
        <x:is>
          <x:t xml:space="preserve">Round2</x:t>
        </x:is>
      </x:c>
      <x:c r="C1510" s="1" t="inlineStr">
        <x:is>
          <x:t xml:space="preserve">Lang_44</x:t>
        </x:is>
      </x:c>
      <x:c r="D1510" s="1" t="inlineStr">
        <x:is>
          <x:t xml:space="preserve">INCONCLUSIVE</x:t>
        </x:is>
      </x:c>
      <x:c r="E1510" s="5">
        <x:v>0.6526000000000001</x:v>
      </x:c>
      <x:c r="F1510" s="4">
        <x:v>0</x:v>
      </x:c>
      <x:c r="G1510" s="4"/>
      <x:c r="H1510" s="6"/>
      <x:c r="I1510" s="16">
        <x:v>1</x:v>
      </x:c>
      <x:c r="J1510">
        <x:v>190</x:v>
      </x:c>
      <x:c r="K1510" s="4">
        <x:v>124</x:v>
      </x:c>
      <x:c r="L1510" s="4">
        <x:v>216</x:v>
      </x:c>
      <x:c r="M1510" s="4">
        <x:v>93</x:v>
      </x:c>
      <x:c r="N1510" s="5">
        <x:v>0.43060000000000004</x:v>
      </x:c>
    </x:row>
    <x:row r="1511" ht="24" customHeight="1">
      <x:c r="A1511" s="1" t="inlineStr">
        <x:is>
          <x:t xml:space="preserve">RESULT</x:t>
        </x:is>
      </x:c>
      <x:c r="B1511" s="1" t="inlineStr">
        <x:is>
          <x:t xml:space="preserve">Round2</x:t>
        </x:is>
      </x:c>
      <x:c r="C1511" s="1" t="inlineStr">
        <x:is>
          <x:t xml:space="preserve">Lang_45</x:t>
        </x:is>
      </x:c>
      <x:c r="D1511" s="1" t="inlineStr">
        <x:is>
          <x:t xml:space="preserve">INCONCLUSIVE</x:t>
        </x:is>
      </x:c>
      <x:c r="E1511" s="5">
        <x:v>0.9493</x:v>
      </x:c>
      <x:c r="F1511" s="4">
        <x:v>0</x:v>
      </x:c>
      <x:c r="G1511" s="4"/>
      <x:c r="H1511" s="6"/>
      <x:c r="I1511" s="16">
        <x:v>1</x:v>
      </x:c>
      <x:c r="J1511">
        <x:v>138</x:v>
      </x:c>
      <x:c r="K1511" s="4">
        <x:v>131</x:v>
      </x:c>
      <x:c r="L1511" s="4">
        <x:v>102</x:v>
      </x:c>
      <x:c r="M1511" s="4">
        <x:v>97</x:v>
      </x:c>
      <x:c r="N1511" s="5">
        <x:v>0.951</x:v>
      </x:c>
    </x:row>
    <x:row r="1512" ht="24" customHeight="1">
      <x:c r="A1512" s="1" t="inlineStr">
        <x:is>
          <x:t xml:space="preserve">RESULT</x:t>
        </x:is>
      </x:c>
      <x:c r="B1512" s="1" t="inlineStr">
        <x:is>
          <x:t xml:space="preserve">Round2</x:t>
        </x:is>
      </x:c>
      <x:c r="C1512" s="1" t="inlineStr">
        <x:is>
          <x:t xml:space="preserve">Lang_46</x:t>
        </x:is>
      </x:c>
      <x:c r="D1512" s="1" t="inlineStr">
        <x:is>
          <x:t xml:space="preserve">INCONCLUSIVE</x:t>
        </x:is>
      </x:c>
      <x:c r="E1512" s="5">
        <x:v>0.7421</x:v>
      </x:c>
      <x:c r="F1512" s="4">
        <x:v>0</x:v>
      </x:c>
      <x:c r="G1512" s="4">
        <x:v>5926</x:v>
      </x:c>
      <x:c r="H1512" s="6">
        <x:v>163.63</x:v>
      </x:c>
      <x:c r="I1512" s="16">
        <x:v>1</x:v>
      </x:c>
      <x:c r="J1512">
        <x:v>221</x:v>
      </x:c>
      <x:c r="K1512" s="4">
        <x:v>164</x:v>
      </x:c>
      <x:c r="L1512" s="4">
        <x:v>107</x:v>
      </x:c>
      <x:c r="M1512" s="4">
        <x:v>88</x:v>
      </x:c>
      <x:c r="N1512" s="5">
        <x:v>0.8223999999999999</x:v>
      </x:c>
    </x:row>
    <x:row r="1513" ht="24" customHeight="1">
      <x:c r="A1513" s="1" t="inlineStr">
        <x:is>
          <x:t xml:space="preserve">RESULT</x:t>
        </x:is>
      </x:c>
      <x:c r="B1513" s="1" t="inlineStr">
        <x:is>
          <x:t xml:space="preserve">Round2</x:t>
        </x:is>
      </x:c>
      <x:c r="C1513" s="1" t="inlineStr">
        <x:is>
          <x:t xml:space="preserve">Lang_47</x:t>
        </x:is>
      </x:c>
      <x:c r="D1513" s="1" t="inlineStr">
        <x:is>
          <x:t xml:space="preserve">NOT_AVAILABLE</x:t>
        </x:is>
      </x:c>
      <x:c r="E1513" s="5"/>
      <x:c r="F1513" s="4">
        <x:v>0</x:v>
      </x:c>
      <x:c r="G1513" s="4">
        <x:v>30423</x:v>
      </x:c>
      <x:c r="H1513" s="6">
        <x:v>835.34</x:v>
      </x:c>
      <x:c r="I1513" s="16">
        <x:v>1</x:v>
      </x:c>
      <x:c r="J1513"/>
      <x:c r="K1513" s="4"/>
      <x:c r="L1513" s="4"/>
      <x:c r="M1513" s="4"/>
      <x:c r="N1513" s="5"/>
    </x:row>
    <x:row r="1514" ht="24" customHeight="1">
      <x:c r="A1514" s="1" t="inlineStr">
        <x:is>
          <x:t xml:space="preserve">RESULT</x:t>
        </x:is>
      </x:c>
      <x:c r="B1514" s="1" t="inlineStr">
        <x:is>
          <x:t xml:space="preserve">Round2</x:t>
        </x:is>
      </x:c>
      <x:c r="C1514" s="1" t="inlineStr">
        <x:is>
          <x:t xml:space="preserve">Lang_49</x:t>
        </x:is>
      </x:c>
      <x:c r="D1514" s="1" t="inlineStr">
        <x:is>
          <x:t xml:space="preserve">INCONCLUSIVE</x:t>
        </x:is>
      </x:c>
      <x:c r="E1514" s="5">
        <x:v>0.9348000000000001</x:v>
      </x:c>
      <x:c r="F1514" s="4">
        <x:v>0</x:v>
      </x:c>
      <x:c r="G1514" s="4"/>
      <x:c r="H1514" s="6"/>
      <x:c r="I1514" s="16">
        <x:v>1</x:v>
      </x:c>
      <x:c r="J1514">
        <x:v>276</x:v>
      </x:c>
      <x:c r="K1514" s="4">
        <x:v>258</x:v>
      </x:c>
      <x:c r="L1514" s="4">
        <x:v>184</x:v>
      </x:c>
      <x:c r="M1514" s="4">
        <x:v>148</x:v>
      </x:c>
      <x:c r="N1514" s="5">
        <x:v>0.8043</x:v>
      </x:c>
    </x:row>
    <x:row r="1515" ht="24" customHeight="1">
      <x:c r="A1515" s="1" t="inlineStr">
        <x:is>
          <x:t xml:space="preserve">RESULT</x:t>
        </x:is>
      </x:c>
      <x:c r="B1515" s="1" t="inlineStr">
        <x:is>
          <x:t xml:space="preserve">Round2</x:t>
        </x:is>
      </x:c>
      <x:c r="C1515" s="1" t="inlineStr">
        <x:is>
          <x:t xml:space="preserve">Lang_5</x:t>
        </x:is>
      </x:c>
      <x:c r="D1515" s="1" t="inlineStr">
        <x:is>
          <x:t xml:space="preserve">INCONCLUSIVE</x:t>
        </x:is>
      </x:c>
      <x:c r="E1515" s="5">
        <x:v>0.9390000000000001</x:v>
      </x:c>
      <x:c r="F1515" s="4">
        <x:v>0</x:v>
      </x:c>
      <x:c r="G1515" s="4"/>
      <x:c r="H1515" s="6"/>
      <x:c r="I1515" s="16">
        <x:v>1</x:v>
      </x:c>
      <x:c r="J1515">
        <x:v>82</x:v>
      </x:c>
      <x:c r="K1515" s="4">
        <x:v>77</x:v>
      </x:c>
      <x:c r="L1515" s="4">
        <x:v>56</x:v>
      </x:c>
      <x:c r="M1515" s="4">
        <x:v>49</x:v>
      </x:c>
      <x:c r="N1515" s="5">
        <x:v>0.875</x:v>
      </x:c>
    </x:row>
    <x:row r="1516" ht="24" customHeight="1">
      <x:c r="A1516" s="1" t="inlineStr">
        <x:is>
          <x:t xml:space="preserve">RESULT</x:t>
        </x:is>
      </x:c>
      <x:c r="B1516" s="1" t="inlineStr">
        <x:is>
          <x:t xml:space="preserve">Round2</x:t>
        </x:is>
      </x:c>
      <x:c r="C1516" s="1" t="inlineStr">
        <x:is>
          <x:t xml:space="preserve">Lang_50</x:t>
        </x:is>
      </x:c>
      <x:c r="D1516" s="1" t="inlineStr">
        <x:is>
          <x:t xml:space="preserve">INCONCLUSIVE</x:t>
        </x:is>
      </x:c>
      <x:c r="E1516" s="5">
        <x:v>0.7559</x:v>
      </x:c>
      <x:c r="F1516" s="4">
        <x:v>0</x:v>
      </x:c>
      <x:c r="G1516" s="4">
        <x:v>10477</x:v>
      </x:c>
      <x:c r="H1516" s="6">
        <x:v>22.46</x:v>
      </x:c>
      <x:c r="I1516" s="16">
        <x:v>1</x:v>
      </x:c>
      <x:c r="J1516">
        <x:v>467</x:v>
      </x:c>
      <x:c r="K1516" s="4">
        <x:v>353</x:v>
      </x:c>
      <x:c r="L1516" s="4">
        <x:v>232</x:v>
      </x:c>
      <x:c r="M1516" s="4">
        <x:v>127</x:v>
      </x:c>
      <x:c r="N1516" s="5">
        <x:v>0.5474</x:v>
      </x:c>
    </x:row>
    <x:row r="1517" ht="24" customHeight="1">
      <x:c r="A1517" s="1" t="inlineStr">
        <x:is>
          <x:t xml:space="preserve">RESULT</x:t>
        </x:is>
      </x:c>
      <x:c r="B1517" s="1" t="inlineStr">
        <x:is>
          <x:t xml:space="preserve">Round2</x:t>
        </x:is>
      </x:c>
      <x:c r="C1517" s="1" t="inlineStr">
        <x:is>
          <x:t xml:space="preserve">Lang_51</x:t>
        </x:is>
      </x:c>
      <x:c r="D1517" s="1" t="inlineStr">
        <x:is>
          <x:t xml:space="preserve">INCONCLUSIVE</x:t>
        </x:is>
      </x:c>
      <x:c r="E1517" s="5">
        <x:v>0.9064</x:v>
      </x:c>
      <x:c r="F1517" s="4">
        <x:v>0</x:v>
      </x:c>
      <x:c r="G1517" s="4"/>
      <x:c r="H1517" s="6"/>
      <x:c r="I1517" s="16">
        <x:v>1</x:v>
      </x:c>
      <x:c r="J1517">
        <x:v>171</x:v>
      </x:c>
      <x:c r="K1517" s="4">
        <x:v>155</x:v>
      </x:c>
      <x:c r="L1517" s="4">
        <x:v>212</x:v>
      </x:c>
      <x:c r="M1517" s="4">
        <x:v>161</x:v>
      </x:c>
      <x:c r="N1517" s="5">
        <x:v>0.7594</x:v>
      </x:c>
    </x:row>
    <x:row r="1518" ht="24" customHeight="1">
      <x:c r="A1518" s="1" t="inlineStr">
        <x:is>
          <x:t xml:space="preserve">RESULT</x:t>
        </x:is>
      </x:c>
      <x:c r="B1518" s="1" t="inlineStr">
        <x:is>
          <x:t xml:space="preserve">Round2</x:t>
        </x:is>
      </x:c>
      <x:c r="C1518" s="1" t="inlineStr">
        <x:is>
          <x:t xml:space="preserve">Lang_52</x:t>
        </x:is>
      </x:c>
      <x:c r="D1518" s="1" t="inlineStr">
        <x:is>
          <x:t xml:space="preserve">NOT_AVAILABLE</x:t>
        </x:is>
      </x:c>
      <x:c r="E1518" s="5"/>
      <x:c r="F1518" s="4">
        <x:v>0</x:v>
      </x:c>
      <x:c r="G1518" s="4">
        <x:v>5997</x:v>
      </x:c>
      <x:c r="H1518" s="6">
        <x:v>25.37</x:v>
      </x:c>
      <x:c r="I1518" s="16">
        <x:v>1</x:v>
      </x:c>
      <x:c r="J1518"/>
      <x:c r="K1518" s="4"/>
      <x:c r="L1518" s="4"/>
      <x:c r="M1518" s="4"/>
      <x:c r="N1518" s="5"/>
    </x:row>
    <x:row r="1519" ht="24" customHeight="1">
      <x:c r="A1519" s="1" t="inlineStr">
        <x:is>
          <x:t xml:space="preserve">RESULT</x:t>
        </x:is>
      </x:c>
      <x:c r="B1519" s="1" t="inlineStr">
        <x:is>
          <x:t xml:space="preserve">Round2</x:t>
        </x:is>
      </x:c>
      <x:c r="C1519" s="1" t="inlineStr">
        <x:is>
          <x:t xml:space="preserve">Lang_53</x:t>
        </x:is>
      </x:c>
      <x:c r="D1519" s="1" t="inlineStr">
        <x:is>
          <x:t xml:space="preserve">NOT_AVAILABLE</x:t>
        </x:is>
      </x:c>
      <x:c r="E1519" s="5"/>
      <x:c r="F1519" s="4">
        <x:v>0</x:v>
      </x:c>
      <x:c r="G1519" s="4">
        <x:v>17556</x:v>
      </x:c>
      <x:c r="H1519" s="6">
        <x:v>76.32</x:v>
      </x:c>
      <x:c r="I1519" s="16">
        <x:v>1</x:v>
      </x:c>
      <x:c r="J1519"/>
      <x:c r="K1519" s="4"/>
      <x:c r="L1519" s="4"/>
      <x:c r="M1519" s="4"/>
      <x:c r="N1519" s="5"/>
    </x:row>
    <x:row r="1520" ht="24" customHeight="1">
      <x:c r="A1520" s="1" t="inlineStr">
        <x:is>
          <x:t xml:space="preserve">RESULT</x:t>
        </x:is>
      </x:c>
      <x:c r="B1520" s="1" t="inlineStr">
        <x:is>
          <x:t xml:space="preserve">Round2</x:t>
        </x:is>
      </x:c>
      <x:c r="C1520" s="1" t="inlineStr">
        <x:is>
          <x:t xml:space="preserve">Lang_54</x:t>
        </x:is>
      </x:c>
      <x:c r="D1520" s="1" t="inlineStr">
        <x:is>
          <x:t xml:space="preserve">INCONCLUSIVE</x:t>
        </x:is>
      </x:c>
      <x:c r="E1520" s="5">
        <x:v>0.9494</x:v>
      </x:c>
      <x:c r="F1520" s="4">
        <x:v>0</x:v>
      </x:c>
      <x:c r="G1520" s="4"/>
      <x:c r="H1520" s="6"/>
      <x:c r="I1520" s="16">
        <x:v>1</x:v>
      </x:c>
      <x:c r="J1520">
        <x:v>79</x:v>
      </x:c>
      <x:c r="K1520" s="4">
        <x:v>75</x:v>
      </x:c>
      <x:c r="L1520" s="4">
        <x:v>64</x:v>
      </x:c>
      <x:c r="M1520" s="4">
        <x:v>52</x:v>
      </x:c>
      <x:c r="N1520" s="5">
        <x:v>0.8125</x:v>
      </x:c>
    </x:row>
    <x:row r="1521" ht="24" customHeight="1">
      <x:c r="A1521" s="1" t="inlineStr">
        <x:is>
          <x:t xml:space="preserve">RESULT</x:t>
        </x:is>
      </x:c>
      <x:c r="B1521" s="1" t="inlineStr">
        <x:is>
          <x:t xml:space="preserve">Round2</x:t>
        </x:is>
      </x:c>
      <x:c r="C1521" s="1" t="inlineStr">
        <x:is>
          <x:t xml:space="preserve">Lang_55</x:t>
        </x:is>
      </x:c>
      <x:c r="D1521" s="1" t="inlineStr">
        <x:is>
          <x:t xml:space="preserve">INCONCLUSIVE</x:t>
        </x:is>
      </x:c>
      <x:c r="E1521" s="5">
        <x:v>0.9298000000000001</x:v>
      </x:c>
      <x:c r="F1521" s="4">
        <x:v>0</x:v>
      </x:c>
      <x:c r="G1521" s="4"/>
      <x:c r="H1521" s="6"/>
      <x:c r="I1521" s="16">
        <x:v>1</x:v>
      </x:c>
      <x:c r="J1521">
        <x:v>57</x:v>
      </x:c>
      <x:c r="K1521" s="4">
        <x:v>53</x:v>
      </x:c>
      <x:c r="L1521" s="4">
        <x:v>26</x:v>
      </x:c>
      <x:c r="M1521" s="4">
        <x:v>23</x:v>
      </x:c>
      <x:c r="N1521" s="5">
        <x:v>0.8845999999999999</x:v>
      </x:c>
    </x:row>
    <x:row r="1522" ht="24" customHeight="1">
      <x:c r="A1522" s="1" t="inlineStr">
        <x:is>
          <x:t xml:space="preserve">RESULT</x:t>
        </x:is>
      </x:c>
      <x:c r="B1522" s="1" t="inlineStr">
        <x:is>
          <x:t xml:space="preserve">Round2</x:t>
        </x:is>
      </x:c>
      <x:c r="C1522" s="1" t="inlineStr">
        <x:is>
          <x:t xml:space="preserve">Lang_56</x:t>
        </x:is>
      </x:c>
      <x:c r="D1522" s="1" t="inlineStr">
        <x:is>
          <x:t xml:space="preserve">NOT_REVEALING</x:t>
        </x:is>
      </x:c>
      <x:c r="E1522" s="5">
        <x:v>0.6809999999999999</x:v>
      </x:c>
      <x:c r="F1522" s="4">
        <x:v>0</x:v>
      </x:c>
      <x:c r="G1522" s="4">
        <x:v>32008</x:v>
      </x:c>
      <x:c r="H1522" s="6">
        <x:v>133.33</x:v>
      </x:c>
      <x:c r="I1522" s="16">
        <x:v>1</x:v>
      </x:c>
      <x:c r="J1522">
        <x:v>464</x:v>
      </x:c>
      <x:c r="K1522" s="4">
        <x:v>316</x:v>
      </x:c>
      <x:c r="L1522" s="4">
        <x:v>232</x:v>
      </x:c>
      <x:c r="M1522" s="4">
        <x:v>124</x:v>
      </x:c>
      <x:c r="N1522" s="5">
        <x:v>0.5345</x:v>
      </x:c>
    </x:row>
    <x:row r="1523" ht="24" customHeight="1">
      <x:c r="A1523" s="1" t="inlineStr">
        <x:is>
          <x:t xml:space="preserve">RESULT</x:t>
        </x:is>
      </x:c>
      <x:c r="B1523" s="1" t="inlineStr">
        <x:is>
          <x:t xml:space="preserve">Round2</x:t>
        </x:is>
      </x:c>
      <x:c r="C1523" s="1" t="inlineStr">
        <x:is>
          <x:t xml:space="preserve">Lang_57</x:t>
        </x:is>
      </x:c>
      <x:c r="D1523" s="1" t="inlineStr">
        <x:is>
          <x:t xml:space="preserve">INCONCLUSIVE</x:t>
        </x:is>
      </x:c>
      <x:c r="E1523" s="5">
        <x:v>0.9747</x:v>
      </x:c>
      <x:c r="F1523" s="4">
        <x:v>0</x:v>
      </x:c>
      <x:c r="G1523" s="4"/>
      <x:c r="H1523" s="6"/>
      <x:c r="I1523" s="16">
        <x:v>1</x:v>
      </x:c>
      <x:c r="J1523">
        <x:v>79</x:v>
      </x:c>
      <x:c r="K1523" s="4">
        <x:v>77</x:v>
      </x:c>
      <x:c r="L1523" s="4">
        <x:v>64</x:v>
      </x:c>
      <x:c r="M1523" s="4">
        <x:v>53</x:v>
      </x:c>
      <x:c r="N1523" s="5">
        <x:v>0.8281000000000001</x:v>
      </x:c>
    </x:row>
    <x:row r="1524" ht="24" customHeight="1">
      <x:c r="A1524" s="1" t="inlineStr">
        <x:is>
          <x:t xml:space="preserve">RESULT</x:t>
        </x:is>
      </x:c>
      <x:c r="B1524" s="1" t="inlineStr">
        <x:is>
          <x:t xml:space="preserve">Round2</x:t>
        </x:is>
      </x:c>
      <x:c r="C1524" s="1" t="inlineStr">
        <x:is>
          <x:t xml:space="preserve">Lang_58</x:t>
        </x:is>
      </x:c>
      <x:c r="D1524" s="1" t="inlineStr">
        <x:is>
          <x:t xml:space="preserve">INCONCLUSIVE</x:t>
        </x:is>
      </x:c>
      <x:c r="E1524" s="5">
        <x:v>0.8069</x:v>
      </x:c>
      <x:c r="F1524" s="4">
        <x:v>0</x:v>
      </x:c>
      <x:c r="G1524" s="4"/>
      <x:c r="H1524" s="6"/>
      <x:c r="I1524" s="16">
        <x:v>1</x:v>
      </x:c>
      <x:c r="J1524">
        <x:v>435</x:v>
      </x:c>
      <x:c r="K1524" s="4">
        <x:v>351</x:v>
      </x:c>
      <x:c r="L1524" s="4">
        <x:v>420</x:v>
      </x:c>
      <x:c r="M1524" s="4">
        <x:v>289</x:v>
      </x:c>
      <x:c r="N1524" s="5">
        <x:v>0.6881</x:v>
      </x:c>
    </x:row>
    <x:row r="1525" ht="24" customHeight="1">
      <x:c r="A1525" s="1" t="inlineStr">
        <x:is>
          <x:t xml:space="preserve">RESULT</x:t>
        </x:is>
      </x:c>
      <x:c r="B1525" s="1" t="inlineStr">
        <x:is>
          <x:t xml:space="preserve">Round2</x:t>
        </x:is>
      </x:c>
      <x:c r="C1525" s="1" t="inlineStr">
        <x:is>
          <x:t xml:space="preserve">Lang_59</x:t>
        </x:is>
      </x:c>
      <x:c r="D1525" s="1" t="inlineStr">
        <x:is>
          <x:t xml:space="preserve">NOT_AVAILABLE</x:t>
        </x:is>
      </x:c>
      <x:c r="E1525" s="5"/>
      <x:c r="F1525" s="4">
        <x:v>0</x:v>
      </x:c>
      <x:c r="G1525" s="4">
        <x:v>14482</x:v>
      </x:c>
      <x:c r="H1525" s="6">
        <x:v>42.52</x:v>
      </x:c>
      <x:c r="I1525" s="16">
        <x:v>1</x:v>
      </x:c>
      <x:c r="J1525"/>
      <x:c r="K1525" s="4"/>
      <x:c r="L1525" s="4"/>
      <x:c r="M1525" s="4"/>
      <x:c r="N1525" s="5"/>
    </x:row>
    <x:row r="1526" ht="24" customHeight="1">
      <x:c r="A1526" s="1" t="inlineStr">
        <x:is>
          <x:t xml:space="preserve">RESULT</x:t>
        </x:is>
      </x:c>
      <x:c r="B1526" s="1" t="inlineStr">
        <x:is>
          <x:t xml:space="preserve">Round2</x:t>
        </x:is>
      </x:c>
      <x:c r="C1526" s="1" t="inlineStr">
        <x:is>
          <x:t xml:space="preserve">Lang_6</x:t>
        </x:is>
      </x:c>
      <x:c r="D1526" s="1" t="inlineStr">
        <x:is>
          <x:t xml:space="preserve">INCONCLUSIVE</x:t>
        </x:is>
      </x:c>
      <x:c r="E1526" s="5">
        <x:v>1.0</x:v>
      </x:c>
      <x:c r="F1526" s="4">
        <x:v>0</x:v>
      </x:c>
      <x:c r="G1526" s="4"/>
      <x:c r="H1526" s="6"/>
      <x:c r="I1526" s="16">
        <x:v>1</x:v>
      </x:c>
      <x:c r="J1526">
        <x:v>30</x:v>
      </x:c>
      <x:c r="K1526" s="4">
        <x:v>30</x:v>
      </x:c>
      <x:c r="L1526" s="4">
        <x:v>12</x:v>
      </x:c>
      <x:c r="M1526" s="4">
        <x:v>12</x:v>
      </x:c>
      <x:c r="N1526" s="5">
        <x:v>1.0</x:v>
      </x:c>
    </x:row>
    <x:row r="1527" ht="24" customHeight="1">
      <x:c r="A1527" s="1" t="inlineStr">
        <x:is>
          <x:t xml:space="preserve">RESULT</x:t>
        </x:is>
      </x:c>
      <x:c r="B1527" s="1" t="inlineStr">
        <x:is>
          <x:t xml:space="preserve">Round2</x:t>
        </x:is>
      </x:c>
      <x:c r="C1527" s="1" t="inlineStr">
        <x:is>
          <x:t xml:space="preserve">Lang_60</x:t>
        </x:is>
      </x:c>
      <x:c r="D1527" s="1" t="inlineStr">
        <x:is>
          <x:t xml:space="preserve">NOT_AVAILABLE</x:t>
        </x:is>
      </x:c>
      <x:c r="E1527" s="5"/>
      <x:c r="F1527" s="4">
        <x:v>0</x:v>
      </x:c>
      <x:c r="G1527" s="4">
        <x:v>18807</x:v>
      </x:c>
      <x:c r="H1527" s="6">
        <x:v>148.22</x:v>
      </x:c>
      <x:c r="I1527" s="16">
        <x:v>1</x:v>
      </x:c>
      <x:c r="J1527"/>
      <x:c r="K1527" s="4"/>
      <x:c r="L1527" s="4"/>
      <x:c r="M1527" s="4"/>
      <x:c r="N1527" s="5"/>
    </x:row>
    <x:row r="1528" ht="24" customHeight="1">
      <x:c r="A1528" s="1" t="inlineStr">
        <x:is>
          <x:t xml:space="preserve">RESULT</x:t>
        </x:is>
      </x:c>
      <x:c r="B1528" s="1" t="inlineStr">
        <x:is>
          <x:t xml:space="preserve">Round2</x:t>
        </x:is>
      </x:c>
      <x:c r="C1528" s="1" t="inlineStr">
        <x:is>
          <x:t xml:space="preserve">Lang_61</x:t>
        </x:is>
      </x:c>
      <x:c r="D1528" s="1" t="inlineStr">
        <x:is>
          <x:t xml:space="preserve">NOT_AVAILABLE</x:t>
        </x:is>
      </x:c>
      <x:c r="E1528" s="5"/>
      <x:c r="F1528" s="4">
        <x:v>0</x:v>
      </x:c>
      <x:c r="G1528" s="4">
        <x:v>17661</x:v>
      </x:c>
      <x:c r="H1528" s="6">
        <x:v>68.24</x:v>
      </x:c>
      <x:c r="I1528" s="16">
        <x:v>1</x:v>
      </x:c>
      <x:c r="J1528"/>
      <x:c r="K1528" s="4"/>
      <x:c r="L1528" s="4"/>
      <x:c r="M1528" s="4"/>
      <x:c r="N1528" s="5"/>
    </x:row>
    <x:row r="1529" ht="24" customHeight="1">
      <x:c r="A1529" s="1" t="inlineStr">
        <x:is>
          <x:t xml:space="preserve">RESULT</x:t>
        </x:is>
      </x:c>
      <x:c r="B1529" s="1" t="inlineStr">
        <x:is>
          <x:t xml:space="preserve">Round2</x:t>
        </x:is>
      </x:c>
      <x:c r="C1529" s="1" t="inlineStr">
        <x:is>
          <x:t xml:space="preserve">Lang_62</x:t>
        </x:is>
      </x:c>
      <x:c r="D1529" s="1" t="inlineStr">
        <x:is>
          <x:t xml:space="preserve">INCONCLUSIVE</x:t>
        </x:is>
      </x:c>
      <x:c r="E1529" s="5">
        <x:v>0.6017</x:v>
      </x:c>
      <x:c r="F1529" s="4">
        <x:v>0</x:v>
      </x:c>
      <x:c r="G1529" s="4">
        <x:v>11386</x:v>
      </x:c>
      <x:c r="H1529" s="6">
        <x:v>58.46</x:v>
      </x:c>
      <x:c r="I1529" s="16">
        <x:v>1</x:v>
      </x:c>
      <x:c r="J1529">
        <x:v>241</x:v>
      </x:c>
      <x:c r="K1529" s="4">
        <x:v>145</x:v>
      </x:c>
      <x:c r="L1529" s="4">
        <x:v>90</x:v>
      </x:c>
      <x:c r="M1529" s="4">
        <x:v>54</x:v>
      </x:c>
      <x:c r="N1529" s="5">
        <x:v>0.6</x:v>
      </x:c>
    </x:row>
    <x:row r="1530" ht="24" customHeight="1">
      <x:c r="A1530" s="1" t="inlineStr">
        <x:is>
          <x:t xml:space="preserve">RESULT</x:t>
        </x:is>
      </x:c>
      <x:c r="B1530" s="1" t="inlineStr">
        <x:is>
          <x:t xml:space="preserve">Round2</x:t>
        </x:is>
      </x:c>
      <x:c r="C1530" s="1" t="inlineStr">
        <x:is>
          <x:t xml:space="preserve">Lang_63</x:t>
        </x:is>
      </x:c>
      <x:c r="D1530" s="1" t="inlineStr">
        <x:is>
          <x:t xml:space="preserve">INCONCLUSIVE</x:t>
        </x:is>
      </x:c>
      <x:c r="E1530" s="5">
        <x:v>0.6349</x:v>
      </x:c>
      <x:c r="F1530" s="4">
        <x:v>0</x:v>
      </x:c>
      <x:c r="G1530" s="4"/>
      <x:c r="H1530" s="6"/>
      <x:c r="I1530" s="16">
        <x:v>1</x:v>
      </x:c>
      <x:c r="J1530">
        <x:v>252</x:v>
      </x:c>
      <x:c r="K1530" s="4">
        <x:v>160</x:v>
      </x:c>
      <x:c r="L1530" s="4">
        <x:v>135</x:v>
      </x:c>
      <x:c r="M1530" s="4">
        <x:v>82</x:v>
      </x:c>
      <x:c r="N1530" s="5">
        <x:v>0.6074</x:v>
      </x:c>
    </x:row>
    <x:row r="1531" ht="24" customHeight="1">
      <x:c r="A1531" s="1" t="inlineStr">
        <x:is>
          <x:t xml:space="preserve">RESULT</x:t>
        </x:is>
      </x:c>
      <x:c r="B1531" s="1" t="inlineStr">
        <x:is>
          <x:t xml:space="preserve">Round2</x:t>
        </x:is>
      </x:c>
      <x:c r="C1531" s="1" t="inlineStr">
        <x:is>
          <x:t xml:space="preserve">Lang_64</x:t>
        </x:is>
      </x:c>
      <x:c r="D1531" s="1" t="inlineStr">
        <x:is>
          <x:t xml:space="preserve">INCONCLUSIVE</x:t>
        </x:is>
      </x:c>
      <x:c r="E1531" s="5">
        <x:v>0.22219999999999998</x:v>
      </x:c>
      <x:c r="F1531" s="4">
        <x:v>0</x:v>
      </x:c>
      <x:c r="G1531" s="4"/>
      <x:c r="H1531" s="6"/>
      <x:c r="I1531" s="16">
        <x:v>1</x:v>
      </x:c>
      <x:c r="J1531">
        <x:v>18</x:v>
      </x:c>
      <x:c r="K1531" s="4">
        <x:v>4</x:v>
      </x:c>
      <x:c r="L1531" s="4">
        <x:v>8</x:v>
      </x:c>
      <x:c r="M1531" s="4">
        <x:v>0</x:v>
      </x:c>
      <x:c r="N1531" s="5">
        <x:v>0.0</x:v>
      </x:c>
    </x:row>
    <x:row r="1532" ht="24" customHeight="1">
      <x:c r="A1532" s="1" t="inlineStr">
        <x:is>
          <x:t xml:space="preserve">RESULT</x:t>
        </x:is>
      </x:c>
      <x:c r="B1532" s="1" t="inlineStr">
        <x:is>
          <x:t xml:space="preserve">Round2</x:t>
        </x:is>
      </x:c>
      <x:c r="C1532" s="1" t="inlineStr">
        <x:is>
          <x:t xml:space="preserve">Lang_65</x:t>
        </x:is>
      </x:c>
      <x:c r="D1532" s="1" t="inlineStr">
        <x:is>
          <x:t xml:space="preserve">NOT_AVAILABLE</x:t>
        </x:is>
      </x:c>
      <x:c r="E1532" s="5"/>
      <x:c r="F1532" s="4">
        <x:v>0</x:v>
      </x:c>
      <x:c r="G1532" s="4">
        <x:v>27183</x:v>
      </x:c>
      <x:c r="H1532" s="6">
        <x:v>1038.36</x:v>
      </x:c>
      <x:c r="I1532" s="16">
        <x:v>1</x:v>
      </x:c>
      <x:c r="J1532"/>
      <x:c r="K1532" s="4"/>
      <x:c r="L1532" s="4"/>
      <x:c r="M1532" s="4"/>
      <x:c r="N1532" s="5"/>
    </x:row>
    <x:row r="1533" ht="24" customHeight="1">
      <x:c r="A1533" s="1" t="inlineStr">
        <x:is>
          <x:t xml:space="preserve">RESULT</x:t>
        </x:is>
      </x:c>
      <x:c r="B1533" s="1" t="inlineStr">
        <x:is>
          <x:t xml:space="preserve">Round2</x:t>
        </x:is>
      </x:c>
      <x:c r="C1533" s="1" t="inlineStr">
        <x:is>
          <x:t xml:space="preserve">Lang_7</x:t>
        </x:is>
      </x:c>
      <x:c r="D1533" s="1" t="inlineStr">
        <x:is>
          <x:t xml:space="preserve">INCONCLUSIVE</x:t>
        </x:is>
      </x:c>
      <x:c r="E1533" s="5">
        <x:v>0.7237</x:v>
      </x:c>
      <x:c r="F1533" s="4">
        <x:v>0</x:v>
      </x:c>
      <x:c r="G1533" s="4"/>
      <x:c r="H1533" s="6"/>
      <x:c r="I1533" s="16">
        <x:v>1</x:v>
      </x:c>
      <x:c r="J1533">
        <x:v>380</x:v>
      </x:c>
      <x:c r="K1533" s="4">
        <x:v>275</x:v>
      </x:c>
      <x:c r="L1533" s="4">
        <x:v>366</x:v>
      </x:c>
      <x:c r="M1533" s="4">
        <x:v>200</x:v>
      </x:c>
      <x:c r="N1533" s="5">
        <x:v>0.5464</x:v>
      </x:c>
    </x:row>
    <x:row r="1534" ht="24" customHeight="1">
      <x:c r="A1534" s="1" t="inlineStr">
        <x:is>
          <x:t xml:space="preserve">RESULT</x:t>
        </x:is>
      </x:c>
      <x:c r="B1534" s="1" t="inlineStr">
        <x:is>
          <x:t xml:space="preserve">Round2</x:t>
        </x:is>
      </x:c>
      <x:c r="C1534" s="1" t="inlineStr">
        <x:is>
          <x:t xml:space="preserve">Lang_8</x:t>
        </x:is>
      </x:c>
      <x:c r="D1534" s="1" t="inlineStr">
        <x:is>
          <x:t xml:space="preserve">NOT_REVEALING</x:t>
        </x:is>
      </x:c>
      <x:c r="E1534" s="5">
        <x:v>0.6291</x:v>
      </x:c>
      <x:c r="F1534" s="4">
        <x:v>0</x:v>
      </x:c>
      <x:c r="G1534" s="4"/>
      <x:c r="H1534" s="6"/>
      <x:c r="I1534" s="16">
        <x:v>1</x:v>
      </x:c>
      <x:c r="J1534">
        <x:v>337</x:v>
      </x:c>
      <x:c r="K1534" s="4">
        <x:v>212</x:v>
      </x:c>
      <x:c r="L1534" s="4">
        <x:v>150</x:v>
      </x:c>
      <x:c r="M1534" s="4">
        <x:v>80</x:v>
      </x:c>
      <x:c r="N1534" s="5">
        <x:v>0.5333</x:v>
      </x:c>
    </x:row>
    <x:row r="1535" ht="24" customHeight="1">
      <x:c r="A1535" s="1" t="inlineStr">
        <x:is>
          <x:t xml:space="preserve">RESULT</x:t>
        </x:is>
      </x:c>
      <x:c r="B1535" s="1" t="inlineStr">
        <x:is>
          <x:t xml:space="preserve">Round2</x:t>
        </x:is>
      </x:c>
      <x:c r="C1535" s="1" t="inlineStr">
        <x:is>
          <x:t xml:space="preserve">Lang_9</x:t>
        </x:is>
      </x:c>
      <x:c r="D1535" s="1" t="inlineStr">
        <x:is>
          <x:t xml:space="preserve">INCONCLUSIVE</x:t>
        </x:is>
      </x:c>
      <x:c r="E1535" s="5">
        <x:v>0.7912</x:v>
      </x:c>
      <x:c r="F1535" s="4">
        <x:v>0</x:v>
      </x:c>
      <x:c r="G1535" s="4">
        <x:v>9856</x:v>
      </x:c>
      <x:c r="H1535" s="6">
        <x:v>59.71</x:v>
      </x:c>
      <x:c r="I1535" s="16">
        <x:v>1</x:v>
      </x:c>
      <x:c r="J1535">
        <x:v>273</x:v>
      </x:c>
      <x:c r="K1535" s="4">
        <x:v>216</x:v>
      </x:c>
      <x:c r="L1535" s="4">
        <x:v>123</x:v>
      </x:c>
      <x:c r="M1535" s="4">
        <x:v>85</x:v>
      </x:c>
      <x:c r="N1535" s="5">
        <x:v>0.6911</x:v>
      </x:c>
    </x:row>
    <x:row r="1536" ht="24" customHeight="1">
      <x:c r="A1536" s="1" t="inlineStr">
        <x:is>
          <x:t xml:space="preserve">RESULT</x:t>
        </x:is>
      </x:c>
      <x:c r="B1536" s="1" t="inlineStr">
        <x:is>
          <x:t xml:space="preserve">Round2</x:t>
        </x:is>
      </x:c>
      <x:c r="C1536" s="1" t="inlineStr">
        <x:is>
          <x:t xml:space="preserve">Math_1</x:t>
        </x:is>
      </x:c>
      <x:c r="D1536" s="1" t="inlineStr">
        <x:is>
          <x:t xml:space="preserve">INCONCLUSIVE</x:t>
        </x:is>
      </x:c>
      <x:c r="E1536" s="5">
        <x:v>0.8493999999999999</x:v>
      </x:c>
      <x:c r="F1536" s="4">
        <x:v>0</x:v>
      </x:c>
      <x:c r="G1536" s="4"/>
      <x:c r="H1536" s="6"/>
      <x:c r="I1536" s="16">
        <x:v>1</x:v>
      </x:c>
      <x:c r="J1536">
        <x:v>425</x:v>
      </x:c>
      <x:c r="K1536" s="4">
        <x:v>361</x:v>
      </x:c>
      <x:c r="L1536" s="4">
        <x:v>192</x:v>
      </x:c>
      <x:c r="M1536" s="4">
        <x:v>151</x:v>
      </x:c>
      <x:c r="N1536" s="5">
        <x:v>0.7865000000000001</x:v>
      </x:c>
    </x:row>
    <x:row r="1537" ht="24" customHeight="1">
      <x:c r="A1537" s="1" t="inlineStr">
        <x:is>
          <x:t xml:space="preserve">RESULT</x:t>
        </x:is>
      </x:c>
      <x:c r="B1537" s="1" t="inlineStr">
        <x:is>
          <x:t xml:space="preserve">Round2</x:t>
        </x:is>
      </x:c>
      <x:c r="C1537" s="1" t="inlineStr">
        <x:is>
          <x:t xml:space="preserve">Math_10</x:t>
        </x:is>
      </x:c>
      <x:c r="D1537" s="1" t="inlineStr">
        <x:is>
          <x:t xml:space="preserve">INCONCLUSIVE</x:t>
        </x:is>
      </x:c>
      <x:c r="E1537" s="5">
        <x:v>0.8170000000000001</x:v>
      </x:c>
      <x:c r="F1537" s="4">
        <x:v>0</x:v>
      </x:c>
      <x:c r="G1537" s="4"/>
      <x:c r="H1537" s="6"/>
      <x:c r="I1537" s="16">
        <x:v>1</x:v>
      </x:c>
      <x:c r="J1537">
        <x:v>552</x:v>
      </x:c>
      <x:c r="K1537" s="4">
        <x:v>451</x:v>
      </x:c>
      <x:c r="L1537" s="4">
        <x:v>286</x:v>
      </x:c>
      <x:c r="M1537" s="4">
        <x:v>189</x:v>
      </x:c>
      <x:c r="N1537" s="5">
        <x:v>0.6607999999999999</x:v>
      </x:c>
    </x:row>
    <x:row r="1538" ht="24" customHeight="1">
      <x:c r="A1538" s="1" t="inlineStr">
        <x:is>
          <x:t xml:space="preserve">RESULT</x:t>
        </x:is>
      </x:c>
      <x:c r="B1538" s="1" t="inlineStr">
        <x:is>
          <x:t xml:space="preserve">Round2</x:t>
        </x:is>
      </x:c>
      <x:c r="C1538" s="1" t="inlineStr">
        <x:is>
          <x:t xml:space="preserve">Math_100</x:t>
        </x:is>
      </x:c>
      <x:c r="D1538" s="1" t="inlineStr">
        <x:is>
          <x:t xml:space="preserve">NOT_AVAILABLE</x:t>
        </x:is>
      </x:c>
      <x:c r="E1538" s="5"/>
      <x:c r="F1538" s="4">
        <x:v>0</x:v>
      </x:c>
      <x:c r="G1538" s="4">
        <x:v>26490</x:v>
      </x:c>
      <x:c r="H1538" s="6">
        <x:v>105.45</x:v>
      </x:c>
      <x:c r="I1538" s="16">
        <x:v>1</x:v>
      </x:c>
      <x:c r="J1538"/>
      <x:c r="K1538" s="4"/>
      <x:c r="L1538" s="4"/>
      <x:c r="M1538" s="4"/>
      <x:c r="N1538" s="5"/>
    </x:row>
    <x:row r="1539" ht="24" customHeight="1">
      <x:c r="A1539" s="1" t="inlineStr">
        <x:is>
          <x:t xml:space="preserve">RESULT</x:t>
        </x:is>
      </x:c>
      <x:c r="B1539" s="1" t="inlineStr">
        <x:is>
          <x:t xml:space="preserve">Round2</x:t>
        </x:is>
      </x:c>
      <x:c r="C1539" s="1" t="inlineStr">
        <x:is>
          <x:t xml:space="preserve">Math_101</x:t>
        </x:is>
      </x:c>
      <x:c r="D1539" s="1" t="inlineStr">
        <x:is>
          <x:t xml:space="preserve">NOT_REVEALING</x:t>
        </x:is>
      </x:c>
      <x:c r="E1539" s="5">
        <x:v>0.951</x:v>
      </x:c>
      <x:c r="F1539" s="4">
        <x:v>0</x:v>
      </x:c>
      <x:c r="G1539" s="4"/>
      <x:c r="H1539" s="6"/>
      <x:c r="I1539" s="16">
        <x:v>1</x:v>
      </x:c>
      <x:c r="J1539">
        <x:v>143</x:v>
      </x:c>
      <x:c r="K1539" s="4">
        <x:v>136</x:v>
      </x:c>
      <x:c r="L1539" s="4">
        <x:v>52</x:v>
      </x:c>
      <x:c r="M1539" s="4">
        <x:v>49</x:v>
      </x:c>
      <x:c r="N1539" s="5">
        <x:v>0.9423</x:v>
      </x:c>
    </x:row>
    <x:row r="1540" ht="24" customHeight="1">
      <x:c r="A1540" s="1" t="inlineStr">
        <x:is>
          <x:t xml:space="preserve">RESULT</x:t>
        </x:is>
      </x:c>
      <x:c r="B1540" s="1" t="inlineStr">
        <x:is>
          <x:t xml:space="preserve">Round2</x:t>
        </x:is>
      </x:c>
      <x:c r="C1540" s="1" t="inlineStr">
        <x:is>
          <x:t xml:space="preserve">Math_102</x:t>
        </x:is>
      </x:c>
      <x:c r="D1540" s="1" t="inlineStr">
        <x:is>
          <x:t xml:space="preserve">INCONCLUSIVE</x:t>
        </x:is>
      </x:c>
      <x:c r="E1540" s="5">
        <x:v>0.991</x:v>
      </x:c>
      <x:c r="F1540" s="4">
        <x:v>0</x:v>
      </x:c>
      <x:c r="G1540" s="4">
        <x:v>27740</x:v>
      </x:c>
      <x:c r="H1540" s="6">
        <x:v>112.33</x:v>
      </x:c>
      <x:c r="I1540" s="16">
        <x:v>1</x:v>
      </x:c>
      <x:c r="J1540">
        <x:v>111</x:v>
      </x:c>
      <x:c r="K1540" s="4">
        <x:v>110</x:v>
      </x:c>
      <x:c r="L1540" s="4">
        <x:v>86</x:v>
      </x:c>
      <x:c r="M1540" s="4">
        <x:v>78</x:v>
      </x:c>
      <x:c r="N1540" s="5">
        <x:v>0.907</x:v>
      </x:c>
    </x:row>
    <x:row r="1541" ht="24" customHeight="1">
      <x:c r="A1541" s="1" t="inlineStr">
        <x:is>
          <x:t xml:space="preserve">RESULT</x:t>
        </x:is>
      </x:c>
      <x:c r="B1541" s="1" t="inlineStr">
        <x:is>
          <x:t xml:space="preserve">Round2</x:t>
        </x:is>
      </x:c>
      <x:c r="C1541" s="1" t="inlineStr">
        <x:is>
          <x:t xml:space="preserve">Math_103</x:t>
        </x:is>
      </x:c>
      <x:c r="D1541" s="1" t="inlineStr">
        <x:is>
          <x:t xml:space="preserve">INCONCLUSIVE</x:t>
        </x:is>
      </x:c>
      <x:c r="E1541" s="5">
        <x:v>1.0</x:v>
      </x:c>
      <x:c r="F1541" s="4">
        <x:v>0</x:v>
      </x:c>
      <x:c r="G1541" s="4"/>
      <x:c r="H1541" s="6"/>
      <x:c r="I1541" s="16">
        <x:v>1</x:v>
      </x:c>
      <x:c r="J1541">
        <x:v>37</x:v>
      </x:c>
      <x:c r="K1541" s="4">
        <x:v>37</x:v>
      </x:c>
      <x:c r="L1541" s="4">
        <x:v>14</x:v>
      </x:c>
      <x:c r="M1541" s="4">
        <x:v>14</x:v>
      </x:c>
      <x:c r="N1541" s="5">
        <x:v>1.0</x:v>
      </x:c>
    </x:row>
    <x:row r="1542" ht="24" customHeight="1">
      <x:c r="A1542" s="1" t="inlineStr">
        <x:is>
          <x:t xml:space="preserve">RESULT</x:t>
        </x:is>
      </x:c>
      <x:c r="B1542" s="1" t="inlineStr">
        <x:is>
          <x:t xml:space="preserve">Round2</x:t>
        </x:is>
      </x:c>
      <x:c r="C1542" s="1" t="inlineStr">
        <x:is>
          <x:t xml:space="preserve">Math_104</x:t>
        </x:is>
      </x:c>
      <x:c r="D1542" s="1" t="inlineStr">
        <x:is>
          <x:t xml:space="preserve">INCONCLUSIVE</x:t>
        </x:is>
      </x:c>
      <x:c r="E1542" s="5">
        <x:v>0.8936</x:v>
      </x:c>
      <x:c r="F1542" s="4">
        <x:v>0</x:v>
      </x:c>
      <x:c r="G1542" s="4"/>
      <x:c r="H1542" s="6"/>
      <x:c r="I1542" s="16">
        <x:v>1</x:v>
      </x:c>
      <x:c r="J1542">
        <x:v>47</x:v>
      </x:c>
      <x:c r="K1542" s="4">
        <x:v>42</x:v>
      </x:c>
      <x:c r="L1542" s="4">
        <x:v>40</x:v>
      </x:c>
      <x:c r="M1542" s="4">
        <x:v>36</x:v>
      </x:c>
      <x:c r="N1542" s="5">
        <x:v>0.9</x:v>
      </x:c>
    </x:row>
    <x:row r="1543" ht="24" customHeight="1">
      <x:c r="A1543" s="1" t="inlineStr">
        <x:is>
          <x:t xml:space="preserve">RESULT</x:t>
        </x:is>
      </x:c>
      <x:c r="B1543" s="1" t="inlineStr">
        <x:is>
          <x:t xml:space="preserve">Round2</x:t>
        </x:is>
      </x:c>
      <x:c r="C1543" s="1" t="inlineStr">
        <x:is>
          <x:t xml:space="preserve">Math_105</x:t>
        </x:is>
      </x:c>
      <x:c r="D1543" s="1" t="inlineStr">
        <x:is>
          <x:t xml:space="preserve">INCONCLUSIVE</x:t>
        </x:is>
      </x:c>
      <x:c r="E1543" s="5">
        <x:v>1.0</x:v>
      </x:c>
      <x:c r="F1543" s="4">
        <x:v>0</x:v>
      </x:c>
      <x:c r="G1543" s="4"/>
      <x:c r="H1543" s="6"/>
      <x:c r="I1543" s="16">
        <x:v>1</x:v>
      </x:c>
      <x:c r="J1543">
        <x:v>71</x:v>
      </x:c>
      <x:c r="K1543" s="4">
        <x:v>71</x:v>
      </x:c>
      <x:c r="L1543" s="4">
        <x:v>18</x:v>
      </x:c>
      <x:c r="M1543" s="4">
        <x:v>18</x:v>
      </x:c>
      <x:c r="N1543" s="5">
        <x:v>1.0</x:v>
      </x:c>
    </x:row>
    <x:row r="1544" ht="24" customHeight="1">
      <x:c r="A1544" s="1" t="inlineStr">
        <x:is>
          <x:t xml:space="preserve">RESULT</x:t>
        </x:is>
      </x:c>
      <x:c r="B1544" s="1" t="inlineStr">
        <x:is>
          <x:t xml:space="preserve">Round2</x:t>
        </x:is>
      </x:c>
      <x:c r="C1544" s="1" t="inlineStr">
        <x:is>
          <x:t xml:space="preserve">Math_106</x:t>
        </x:is>
      </x:c>
      <x:c r="D1544" s="1" t="inlineStr">
        <x:is>
          <x:t xml:space="preserve">INCONCLUSIVE</x:t>
        </x:is>
      </x:c>
      <x:c r="E1544" s="5">
        <x:v>0.8946999999999999</x:v>
      </x:c>
      <x:c r="F1544" s="4">
        <x:v>0</x:v>
      </x:c>
      <x:c r="G1544" s="4"/>
      <x:c r="H1544" s="6"/>
      <x:c r="I1544" s="16">
        <x:v>1</x:v>
      </x:c>
      <x:c r="J1544">
        <x:v>57</x:v>
      </x:c>
      <x:c r="K1544" s="4">
        <x:v>51</x:v>
      </x:c>
      <x:c r="L1544" s="4">
        <x:v>15</x:v>
      </x:c>
      <x:c r="M1544" s="4">
        <x:v>12</x:v>
      </x:c>
      <x:c r="N1544" s="5">
        <x:v>0.8</x:v>
      </x:c>
    </x:row>
    <x:row r="1545" ht="24" customHeight="1">
      <x:c r="A1545" s="1" t="inlineStr">
        <x:is>
          <x:t xml:space="preserve">RESULT</x:t>
        </x:is>
      </x:c>
      <x:c r="B1545" s="1" t="inlineStr">
        <x:is>
          <x:t xml:space="preserve">Round2</x:t>
        </x:is>
      </x:c>
      <x:c r="C1545" s="1" t="inlineStr">
        <x:is>
          <x:t xml:space="preserve">Math_11</x:t>
        </x:is>
      </x:c>
      <x:c r="D1545" s="1" t="inlineStr">
        <x:is>
          <x:t xml:space="preserve">INCONCLUSIVE</x:t>
        </x:is>
      </x:c>
      <x:c r="E1545" s="5">
        <x:v>1.0</x:v>
      </x:c>
      <x:c r="F1545" s="4">
        <x:v>0</x:v>
      </x:c>
      <x:c r="G1545" s="4">
        <x:v>8825</x:v>
      </x:c>
      <x:c r="H1545" s="6">
        <x:v>44.19</x:v>
      </x:c>
      <x:c r="I1545" s="16">
        <x:v>1</x:v>
      </x:c>
      <x:c r="J1545">
        <x:v>59</x:v>
      </x:c>
      <x:c r="K1545" s="4">
        <x:v>59</x:v>
      </x:c>
      <x:c r="L1545" s="4">
        <x:v>28</x:v>
      </x:c>
      <x:c r="M1545" s="4">
        <x:v>28</x:v>
      </x:c>
      <x:c r="N1545" s="5">
        <x:v>1.0</x:v>
      </x:c>
    </x:row>
    <x:row r="1546" ht="24" customHeight="1">
      <x:c r="A1546" s="1" t="inlineStr">
        <x:is>
          <x:t xml:space="preserve">RESULT</x:t>
        </x:is>
      </x:c>
      <x:c r="B1546" s="1" t="inlineStr">
        <x:is>
          <x:t xml:space="preserve">Round2</x:t>
        </x:is>
      </x:c>
      <x:c r="C1546" s="1" t="inlineStr">
        <x:is>
          <x:t xml:space="preserve">Math_12</x:t>
        </x:is>
      </x:c>
      <x:c r="D1546" s="1" t="inlineStr">
        <x:is>
          <x:t xml:space="preserve">INCONCLUSIVE</x:t>
        </x:is>
      </x:c>
      <x:c r="E1546" s="5">
        <x:v>0.9582999999999999</x:v>
      </x:c>
      <x:c r="F1546" s="4">
        <x:v>0</x:v>
      </x:c>
      <x:c r="G1546" s="4"/>
      <x:c r="H1546" s="6"/>
      <x:c r="I1546" s="16">
        <x:v>1</x:v>
      </x:c>
      <x:c r="J1546">
        <x:v>48</x:v>
      </x:c>
      <x:c r="K1546" s="4">
        <x:v>46</x:v>
      </x:c>
      <x:c r="L1546" s="4">
        <x:v>14</x:v>
      </x:c>
      <x:c r="M1546" s="4">
        <x:v>12</x:v>
      </x:c>
      <x:c r="N1546" s="5">
        <x:v>0.8571</x:v>
      </x:c>
    </x:row>
    <x:row r="1547" ht="24" customHeight="1">
      <x:c r="A1547" s="1" t="inlineStr">
        <x:is>
          <x:t xml:space="preserve">RESULT</x:t>
        </x:is>
      </x:c>
      <x:c r="B1547" s="1" t="inlineStr">
        <x:is>
          <x:t xml:space="preserve">Round2</x:t>
        </x:is>
      </x:c>
      <x:c r="C1547" s="1" t="inlineStr">
        <x:is>
          <x:t xml:space="preserve">Math_13</x:t>
        </x:is>
      </x:c>
      <x:c r="D1547" s="1" t="inlineStr">
        <x:is>
          <x:t xml:space="preserve">NOT_AVAILABLE</x:t>
        </x:is>
      </x:c>
      <x:c r="E1547" s="5"/>
      <x:c r="F1547" s="4">
        <x:v>0</x:v>
      </x:c>
      <x:c r="G1547" s="4">
        <x:v>33208</x:v>
      </x:c>
      <x:c r="H1547" s="6">
        <x:v>131.77</x:v>
      </x:c>
      <x:c r="I1547" s="16">
        <x:v>1</x:v>
      </x:c>
      <x:c r="J1547"/>
      <x:c r="K1547" s="4"/>
      <x:c r="L1547" s="4"/>
      <x:c r="M1547" s="4"/>
      <x:c r="N1547" s="5"/>
    </x:row>
    <x:row r="1548" ht="24" customHeight="1">
      <x:c r="A1548" s="1" t="inlineStr">
        <x:is>
          <x:t xml:space="preserve">RESULT</x:t>
        </x:is>
      </x:c>
      <x:c r="B1548" s="1" t="inlineStr">
        <x:is>
          <x:t xml:space="preserve">Round2</x:t>
        </x:is>
      </x:c>
      <x:c r="C1548" s="1" t="inlineStr">
        <x:is>
          <x:t xml:space="preserve">Math_14</x:t>
        </x:is>
      </x:c>
      <x:c r="D1548" s="1" t="inlineStr">
        <x:is>
          <x:t xml:space="preserve">INCONCLUSIVE</x:t>
        </x:is>
      </x:c>
      <x:c r="E1548" s="5">
        <x:v>0.9804</x:v>
      </x:c>
      <x:c r="F1548" s="4">
        <x:v>0</x:v>
      </x:c>
      <x:c r="G1548" s="4">
        <x:v>72608</x:v>
      </x:c>
      <x:c r="H1548" s="6">
        <x:v>329.5</x:v>
      </x:c>
      <x:c r="I1548" s="16">
        <x:v>1</x:v>
      </x:c>
      <x:c r="J1548">
        <x:v>51</x:v>
      </x:c>
      <x:c r="K1548" s="4">
        <x:v>50</x:v>
      </x:c>
      <x:c r="L1548" s="4">
        <x:v>14</x:v>
      </x:c>
      <x:c r="M1548" s="4">
        <x:v>14</x:v>
      </x:c>
      <x:c r="N1548" s="5">
        <x:v>1.0</x:v>
      </x:c>
    </x:row>
    <x:row r="1549" ht="24" customHeight="1">
      <x:c r="A1549" s="1" t="inlineStr">
        <x:is>
          <x:t xml:space="preserve">RESULT</x:t>
        </x:is>
      </x:c>
      <x:c r="B1549" s="1" t="inlineStr">
        <x:is>
          <x:t xml:space="preserve">Round2</x:t>
        </x:is>
      </x:c>
      <x:c r="C1549" s="1" t="inlineStr">
        <x:is>
          <x:t xml:space="preserve">Math_15</x:t>
        </x:is>
      </x:c>
      <x:c r="D1549" s="1" t="inlineStr">
        <x:is>
          <x:t xml:space="preserve">INCONCLUSIVE</x:t>
        </x:is>
      </x:c>
      <x:c r="E1549" s="5">
        <x:v>0.5317000000000001</x:v>
      </x:c>
      <x:c r="F1549" s="4">
        <x:v>0</x:v>
      </x:c>
      <x:c r="G1549" s="4"/>
      <x:c r="H1549" s="6"/>
      <x:c r="I1549" s="16">
        <x:v>1</x:v>
      </x:c>
      <x:c r="J1549">
        <x:v>1497</x:v>
      </x:c>
      <x:c r="K1549" s="4">
        <x:v>796</x:v>
      </x:c>
      <x:c r="L1549" s="4">
        <x:v>798</x:v>
      </x:c>
      <x:c r="M1549" s="4">
        <x:v>267</x:v>
      </x:c>
      <x:c r="N1549" s="5">
        <x:v>0.3346</x:v>
      </x:c>
    </x:row>
    <x:row r="1550" ht="24" customHeight="1">
      <x:c r="A1550" s="1" t="inlineStr">
        <x:is>
          <x:t xml:space="preserve">RESULT</x:t>
        </x:is>
      </x:c>
      <x:c r="B1550" s="1" t="inlineStr">
        <x:is>
          <x:t xml:space="preserve">Round2</x:t>
        </x:is>
      </x:c>
      <x:c r="C1550" s="1" t="inlineStr">
        <x:is>
          <x:t xml:space="preserve">Math_16</x:t>
        </x:is>
      </x:c>
      <x:c r="D1550" s="1" t="inlineStr">
        <x:is>
          <x:t xml:space="preserve">INCONCLUSIVE</x:t>
        </x:is>
      </x:c>
      <x:c r="E1550" s="5">
        <x:v>0.564</x:v>
      </x:c>
      <x:c r="F1550" s="4">
        <x:v>0</x:v>
      </x:c>
      <x:c r="G1550" s="4"/>
      <x:c r="H1550" s="6"/>
      <x:c r="I1550" s="16">
        <x:v>1</x:v>
      </x:c>
      <x:c r="J1550">
        <x:v>1484</x:v>
      </x:c>
      <x:c r="K1550" s="4">
        <x:v>837</x:v>
      </x:c>
      <x:c r="L1550" s="4">
        <x:v>790</x:v>
      </x:c>
      <x:c r="M1550" s="4">
        <x:v>288</x:v>
      </x:c>
      <x:c r="N1550" s="5">
        <x:v>0.36460000000000004</x:v>
      </x:c>
    </x:row>
    <x:row r="1551" ht="24" customHeight="1">
      <x:c r="A1551" s="1" t="inlineStr">
        <x:is>
          <x:t xml:space="preserve">RESULT</x:t>
        </x:is>
      </x:c>
      <x:c r="B1551" s="1" t="inlineStr">
        <x:is>
          <x:t xml:space="preserve">Round2</x:t>
        </x:is>
      </x:c>
      <x:c r="C1551" s="1" t="inlineStr">
        <x:is>
          <x:t xml:space="preserve">Math_17</x:t>
        </x:is>
      </x:c>
      <x:c r="D1551" s="1" t="inlineStr">
        <x:is>
          <x:t xml:space="preserve">INCONCLUSIVE</x:t>
        </x:is>
      </x:c>
      <x:c r="E1551" s="5">
        <x:v>0.62</x:v>
      </x:c>
      <x:c r="F1551" s="4">
        <x:v>0</x:v>
      </x:c>
      <x:c r="G1551" s="4">
        <x:v>34912</x:v>
      </x:c>
      <x:c r="H1551" s="6">
        <x:v>891.56</x:v>
      </x:c>
      <x:c r="I1551" s="16">
        <x:v>1</x:v>
      </x:c>
      <x:c r="J1551">
        <x:v>1029</x:v>
      </x:c>
      <x:c r="K1551" s="4">
        <x:v>638</x:v>
      </x:c>
      <x:c r="L1551" s="4">
        <x:v>738</x:v>
      </x:c>
      <x:c r="M1551" s="4">
        <x:v>420</x:v>
      </x:c>
      <x:c r="N1551" s="5">
        <x:v>0.5690999999999999</x:v>
      </x:c>
    </x:row>
    <x:row r="1552" ht="24" customHeight="1">
      <x:c r="A1552" s="1" t="inlineStr">
        <x:is>
          <x:t xml:space="preserve">RESULT</x:t>
        </x:is>
      </x:c>
      <x:c r="B1552" s="1" t="inlineStr">
        <x:is>
          <x:t xml:space="preserve">Round2</x:t>
        </x:is>
      </x:c>
      <x:c r="C1552" s="1" t="inlineStr">
        <x:is>
          <x:t xml:space="preserve">Math_18</x:t>
        </x:is>
      </x:c>
      <x:c r="D1552" s="1" t="inlineStr">
        <x:is>
          <x:t xml:space="preserve">NOT_REVEALING</x:t>
        </x:is>
      </x:c>
      <x:c r="E1552" s="5">
        <x:v>0.8521</x:v>
      </x:c>
      <x:c r="F1552" s="4">
        <x:v>0</x:v>
      </x:c>
      <x:c r="G1552" s="4">
        <x:v>18202</x:v>
      </x:c>
      <x:c r="H1552" s="6">
        <x:v>38.68</x:v>
      </x:c>
      <x:c r="I1552" s="16">
        <x:v>1</x:v>
      </x:c>
      <x:c r="J1552">
        <x:v>507</x:v>
      </x:c>
      <x:c r="K1552" s="4">
        <x:v>432</x:v>
      </x:c>
      <x:c r="L1552" s="4">
        <x:v>276</x:v>
      </x:c>
      <x:c r="M1552" s="4">
        <x:v>193</x:v>
      </x:c>
      <x:c r="N1552" s="5">
        <x:v>0.6993</x:v>
      </x:c>
    </x:row>
    <x:row r="1553" ht="24" customHeight="1">
      <x:c r="A1553" s="1" t="inlineStr">
        <x:is>
          <x:t xml:space="preserve">RESULT</x:t>
        </x:is>
      </x:c>
      <x:c r="B1553" s="1" t="inlineStr">
        <x:is>
          <x:t xml:space="preserve">Round2</x:t>
        </x:is>
      </x:c>
      <x:c r="C1553" s="1" t="inlineStr">
        <x:is>
          <x:t xml:space="preserve">Math_19</x:t>
        </x:is>
      </x:c>
      <x:c r="D1553" s="1" t="inlineStr">
        <x:is>
          <x:t xml:space="preserve">NOT_REVEALING</x:t>
        </x:is>
      </x:c>
      <x:c r="E1553" s="5">
        <x:v>0.9056000000000001</x:v>
      </x:c>
      <x:c r="F1553" s="4">
        <x:v>0</x:v>
      </x:c>
      <x:c r="G1553" s="4">
        <x:v>36987</x:v>
      </x:c>
      <x:c r="H1553" s="6">
        <x:v>133.95</x:v>
      </x:c>
      <x:c r="I1553" s="16">
        <x:v>1</x:v>
      </x:c>
      <x:c r="J1553">
        <x:v>498</x:v>
      </x:c>
      <x:c r="K1553" s="4">
        <x:v>451</x:v>
      </x:c>
      <x:c r="L1553" s="4">
        <x:v>272</x:v>
      </x:c>
      <x:c r="M1553" s="4">
        <x:v>210</x:v>
      </x:c>
      <x:c r="N1553" s="5">
        <x:v>0.7720999999999999</x:v>
      </x:c>
    </x:row>
    <x:row r="1554" ht="24" customHeight="1">
      <x:c r="A1554" s="1" t="inlineStr">
        <x:is>
          <x:t xml:space="preserve">RESULT</x:t>
        </x:is>
      </x:c>
      <x:c r="B1554" s="1" t="inlineStr">
        <x:is>
          <x:t xml:space="preserve">Round2</x:t>
        </x:is>
      </x:c>
      <x:c r="C1554" s="1" t="inlineStr">
        <x:is>
          <x:t xml:space="preserve">Math_2</x:t>
        </x:is>
      </x:c>
      <x:c r="D1554" s="1" t="inlineStr">
        <x:is>
          <x:t xml:space="preserve">INCONCLUSIVE</x:t>
        </x:is>
      </x:c>
      <x:c r="E1554" s="5">
        <x:v>0.9865</x:v>
      </x:c>
      <x:c r="F1554" s="4">
        <x:v>0</x:v>
      </x:c>
      <x:c r="G1554" s="4"/>
      <x:c r="H1554" s="6"/>
      <x:c r="I1554" s="16">
        <x:v>1</x:v>
      </x:c>
      <x:c r="J1554">
        <x:v>74</x:v>
      </x:c>
      <x:c r="K1554" s="4">
        <x:v>73</x:v>
      </x:c>
      <x:c r="L1554" s="4">
        <x:v>26</x:v>
      </x:c>
      <x:c r="M1554" s="4">
        <x:v>23</x:v>
      </x:c>
      <x:c r="N1554" s="5">
        <x:v>0.8845999999999999</x:v>
      </x:c>
    </x:row>
    <x:row r="1555" ht="24" customHeight="1">
      <x:c r="A1555" s="1" t="inlineStr">
        <x:is>
          <x:t xml:space="preserve">RESULT</x:t>
        </x:is>
      </x:c>
      <x:c r="B1555" s="1" t="inlineStr">
        <x:is>
          <x:t xml:space="preserve">Round2</x:t>
        </x:is>
      </x:c>
      <x:c r="C1555" s="1" t="inlineStr">
        <x:is>
          <x:t xml:space="preserve">Math_20</x:t>
        </x:is>
      </x:c>
      <x:c r="D1555" s="1" t="inlineStr">
        <x:is>
          <x:t xml:space="preserve">NOT_REVEALING</x:t>
        </x:is>
      </x:c>
      <x:c r="E1555" s="5">
        <x:v>0.8612000000000001</x:v>
      </x:c>
      <x:c r="F1555" s="4">
        <x:v>0</x:v>
      </x:c>
      <x:c r="G1555" s="4">
        <x:v>35122</x:v>
      </x:c>
      <x:c r="H1555" s="6">
        <x:v>1078.34</x:v>
      </x:c>
      <x:c r="I1555" s="16">
        <x:v>1</x:v>
      </x:c>
      <x:c r="J1555">
        <x:v>497</x:v>
      </x:c>
      <x:c r="K1555" s="4">
        <x:v>428</x:v>
      </x:c>
      <x:c r="L1555" s="4">
        <x:v>268</x:v>
      </x:c>
      <x:c r="M1555" s="4">
        <x:v>205</x:v>
      </x:c>
      <x:c r="N1555" s="5">
        <x:v>0.7648999999999999</x:v>
      </x:c>
    </x:row>
    <x:row r="1556" ht="24" customHeight="1">
      <x:c r="A1556" s="1" t="inlineStr">
        <x:is>
          <x:t xml:space="preserve">RESULT</x:t>
        </x:is>
      </x:c>
      <x:c r="B1556" s="1" t="inlineStr">
        <x:is>
          <x:t xml:space="preserve">Round2</x:t>
        </x:is>
      </x:c>
      <x:c r="C1556" s="1" t="inlineStr">
        <x:is>
          <x:t xml:space="preserve">Math_21</x:t>
        </x:is>
      </x:c>
      <x:c r="D1556" s="1" t="inlineStr">
        <x:is>
          <x:t xml:space="preserve">INCONCLUSIVE</x:t>
        </x:is>
      </x:c>
      <x:c r="E1556" s="5">
        <x:v>1.0</x:v>
      </x:c>
      <x:c r="F1556" s="4">
        <x:v>0</x:v>
      </x:c>
      <x:c r="G1556" s="4"/>
      <x:c r="H1556" s="6"/>
      <x:c r="I1556" s="16">
        <x:v>1</x:v>
      </x:c>
      <x:c r="J1556">
        <x:v>52</x:v>
      </x:c>
      <x:c r="K1556" s="4">
        <x:v>52</x:v>
      </x:c>
      <x:c r="L1556" s="4">
        <x:v>28</x:v>
      </x:c>
      <x:c r="M1556" s="4">
        <x:v>28</x:v>
      </x:c>
      <x:c r="N1556" s="5">
        <x:v>1.0</x:v>
      </x:c>
    </x:row>
    <x:row r="1557" ht="24" customHeight="1">
      <x:c r="A1557" s="1" t="inlineStr">
        <x:is>
          <x:t xml:space="preserve">RESULT</x:t>
        </x:is>
      </x:c>
      <x:c r="B1557" s="1" t="inlineStr">
        <x:is>
          <x:t xml:space="preserve">Round2</x:t>
        </x:is>
      </x:c>
      <x:c r="C1557" s="1" t="inlineStr">
        <x:is>
          <x:t xml:space="preserve">Math_22</x:t>
        </x:is>
      </x:c>
      <x:c r="D1557" s="1" t="inlineStr">
        <x:is>
          <x:t xml:space="preserve">INCONCLUSIVE</x:t>
        </x:is>
      </x:c>
      <x:c r="E1557" s="5">
        <x:v>1.0</x:v>
      </x:c>
      <x:c r="F1557" s="4">
        <x:v>0</x:v>
      </x:c>
      <x:c r="G1557" s="4">
        <x:v>27053</x:v>
      </x:c>
      <x:c r="H1557" s="6">
        <x:v>112.38</x:v>
      </x:c>
      <x:c r="I1557" s="16">
        <x:v>1</x:v>
      </x:c>
      <x:c r="J1557">
        <x:v>86</x:v>
      </x:c>
      <x:c r="K1557" s="4">
        <x:v>86</x:v>
      </x:c>
      <x:c r="L1557" s="4">
        <x:v>22</x:v>
      </x:c>
      <x:c r="M1557" s="4">
        <x:v>21</x:v>
      </x:c>
      <x:c r="N1557" s="5">
        <x:v>0.9545</x:v>
      </x:c>
    </x:row>
    <x:row r="1558" ht="24" customHeight="1">
      <x:c r="A1558" s="1" t="inlineStr">
        <x:is>
          <x:t xml:space="preserve">RESULT</x:t>
        </x:is>
      </x:c>
      <x:c r="B1558" s="1" t="inlineStr">
        <x:is>
          <x:t xml:space="preserve">Round2</x:t>
        </x:is>
      </x:c>
      <x:c r="C1558" s="1" t="inlineStr">
        <x:is>
          <x:t xml:space="preserve">Math_23</x:t>
        </x:is>
      </x:c>
      <x:c r="D1558" s="1" t="inlineStr">
        <x:is>
          <x:t xml:space="preserve">NOT_REVEALING</x:t>
        </x:is>
      </x:c>
      <x:c r="E1558" s="5">
        <x:v>0.925</x:v>
      </x:c>
      <x:c r="F1558" s="4">
        <x:v>0</x:v>
      </x:c>
      <x:c r="G1558" s="4">
        <x:v>9342</x:v>
      </x:c>
      <x:c r="H1558" s="6">
        <x:v>54.15</x:v>
      </x:c>
      <x:c r="I1558" s="16">
        <x:v>1</x:v>
      </x:c>
      <x:c r="J1558">
        <x:v>120</x:v>
      </x:c>
      <x:c r="K1558" s="4">
        <x:v>111</x:v>
      </x:c>
      <x:c r="L1558" s="4">
        <x:v>74</x:v>
      </x:c>
      <x:c r="M1558" s="4">
        <x:v>58</x:v>
      </x:c>
      <x:c r="N1558" s="5">
        <x:v>0.7837999999999999</x:v>
      </x:c>
    </x:row>
    <x:row r="1559" ht="24" customHeight="1">
      <x:c r="A1559" s="1" t="inlineStr">
        <x:is>
          <x:t xml:space="preserve">RESULT</x:t>
        </x:is>
      </x:c>
      <x:c r="B1559" s="1" t="inlineStr">
        <x:is>
          <x:t xml:space="preserve">Round2</x:t>
        </x:is>
      </x:c>
      <x:c r="C1559" s="1" t="inlineStr">
        <x:is>
          <x:t xml:space="preserve">Math_24</x:t>
        </x:is>
      </x:c>
      <x:c r="D1559" s="1" t="inlineStr">
        <x:is>
          <x:t xml:space="preserve">REVEALING</x:t>
        </x:is>
      </x:c>
      <x:c r="E1559" s="5">
        <x:v>0.8571</x:v>
      </x:c>
      <x:c r="F1559" s="4">
        <x:v>1</x:v>
      </x:c>
      <x:c r="G1559" s="4">
        <x:v>48545</x:v>
      </x:c>
      <x:c r="H1559" s="6">
        <x:v>228.45</x:v>
      </x:c>
      <x:c r="I1559" s="16">
        <x:v>1</x:v>
      </x:c>
      <x:c r="J1559">
        <x:v>119</x:v>
      </x:c>
      <x:c r="K1559" s="4">
        <x:v>102</x:v>
      </x:c>
      <x:c r="L1559" s="4">
        <x:v>74</x:v>
      </x:c>
      <x:c r="M1559" s="4">
        <x:v>48</x:v>
      </x:c>
      <x:c r="N1559" s="5">
        <x:v>0.6486</x:v>
      </x:c>
    </x:row>
    <x:row r="1560" ht="24" customHeight="1">
      <x:c r="A1560" s="1" t="inlineStr">
        <x:is>
          <x:t xml:space="preserve">RESULT</x:t>
        </x:is>
      </x:c>
      <x:c r="B1560" s="1" t="inlineStr">
        <x:is>
          <x:t xml:space="preserve">Round2</x:t>
        </x:is>
      </x:c>
      <x:c r="C1560" s="1" t="inlineStr">
        <x:is>
          <x:t xml:space="preserve">Math_25</x:t>
        </x:is>
      </x:c>
      <x:c r="D1560" s="1" t="inlineStr">
        <x:is>
          <x:t xml:space="preserve">INCONCLUSIVE</x:t>
        </x:is>
      </x:c>
      <x:c r="E1560" s="5">
        <x:v>0.9468000000000001</x:v>
      </x:c>
      <x:c r="F1560" s="4">
        <x:v>0</x:v>
      </x:c>
      <x:c r="G1560" s="4"/>
      <x:c r="H1560" s="6"/>
      <x:c r="I1560" s="16">
        <x:v>1</x:v>
      </x:c>
      <x:c r="J1560">
        <x:v>94</x:v>
      </x:c>
      <x:c r="K1560" s="4">
        <x:v>89</x:v>
      </x:c>
      <x:c r="L1560" s="4">
        <x:v>28</x:v>
      </x:c>
      <x:c r="M1560" s="4">
        <x:v>26</x:v>
      </x:c>
      <x:c r="N1560" s="5">
        <x:v>0.9286</x:v>
      </x:c>
    </x:row>
    <x:row r="1561" ht="24" customHeight="1">
      <x:c r="A1561" s="1" t="inlineStr">
        <x:is>
          <x:t xml:space="preserve">RESULT</x:t>
        </x:is>
      </x:c>
      <x:c r="B1561" s="1" t="inlineStr">
        <x:is>
          <x:t xml:space="preserve">Round2</x:t>
        </x:is>
      </x:c>
      <x:c r="C1561" s="1" t="inlineStr">
        <x:is>
          <x:t xml:space="preserve">Math_26</x:t>
        </x:is>
      </x:c>
      <x:c r="D1561" s="1" t="inlineStr">
        <x:is>
          <x:t xml:space="preserve">INCONCLUSIVE</x:t>
        </x:is>
      </x:c>
      <x:c r="E1561" s="5">
        <x:v>0.9672</x:v>
      </x:c>
      <x:c r="F1561" s="4">
        <x:v>0</x:v>
      </x:c>
      <x:c r="G1561" s="4">
        <x:v>34405</x:v>
      </x:c>
      <x:c r="H1561" s="6">
        <x:v>138.65</x:v>
      </x:c>
      <x:c r="I1561" s="16">
        <x:v>1</x:v>
      </x:c>
      <x:c r="J1561">
        <x:v>183</x:v>
      </x:c>
      <x:c r="K1561" s="4">
        <x:v>177</x:v>
      </x:c>
      <x:c r="L1561" s="4">
        <x:v>94</x:v>
      </x:c>
      <x:c r="M1561" s="4">
        <x:v>86</x:v>
      </x:c>
      <x:c r="N1561" s="5">
        <x:v>0.9148999999999999</x:v>
      </x:c>
    </x:row>
    <x:row r="1562" ht="24" customHeight="1">
      <x:c r="A1562" s="1" t="inlineStr">
        <x:is>
          <x:t xml:space="preserve">RESULT</x:t>
        </x:is>
      </x:c>
      <x:c r="B1562" s="1" t="inlineStr">
        <x:is>
          <x:t xml:space="preserve">Round2</x:t>
        </x:is>
      </x:c>
      <x:c r="C1562" s="1" t="inlineStr">
        <x:is>
          <x:t xml:space="preserve">Math_27</x:t>
        </x:is>
      </x:c>
      <x:c r="D1562" s="1" t="inlineStr">
        <x:is>
          <x:t xml:space="preserve">INCONCLUSIVE</x:t>
        </x:is>
      </x:c>
      <x:c r="E1562" s="5">
        <x:v>0.153</x:v>
      </x:c>
      <x:c r="F1562" s="4">
        <x:v>0</x:v>
      </x:c>
      <x:c r="G1562" s="4"/>
      <x:c r="H1562" s="6"/>
      <x:c r="I1562" s="16">
        <x:v>1</x:v>
      </x:c>
      <x:c r="J1562">
        <x:v>183</x:v>
      </x:c>
      <x:c r="K1562" s="4">
        <x:v>28</x:v>
      </x:c>
      <x:c r="L1562" s="4">
        <x:v>94</x:v>
      </x:c>
      <x:c r="M1562" s="4">
        <x:v>8</x:v>
      </x:c>
      <x:c r="N1562" s="5">
        <x:v>0.0851</x:v>
      </x:c>
    </x:row>
    <x:row r="1563" ht="24" customHeight="1">
      <x:c r="A1563" s="1" t="inlineStr">
        <x:is>
          <x:t xml:space="preserve">RESULT</x:t>
        </x:is>
      </x:c>
      <x:c r="B1563" s="1" t="inlineStr">
        <x:is>
          <x:t xml:space="preserve">Round2</x:t>
        </x:is>
      </x:c>
      <x:c r="C1563" s="1" t="inlineStr">
        <x:is>
          <x:t xml:space="preserve">Math_28</x:t>
        </x:is>
      </x:c>
      <x:c r="D1563" s="1" t="inlineStr">
        <x:is>
          <x:t xml:space="preserve">NOT_AVAILABLE</x:t>
        </x:is>
      </x:c>
      <x:c r="E1563" s="5"/>
      <x:c r="F1563" s="4">
        <x:v>0</x:v>
      </x:c>
      <x:c r="G1563" s="4">
        <x:v>6301</x:v>
      </x:c>
      <x:c r="H1563" s="6">
        <x:v>26.44</x:v>
      </x:c>
      <x:c r="I1563" s="16">
        <x:v>1</x:v>
      </x:c>
      <x:c r="J1563"/>
      <x:c r="K1563" s="4"/>
      <x:c r="L1563" s="4"/>
      <x:c r="M1563" s="4"/>
      <x:c r="N1563" s="5"/>
    </x:row>
    <x:row r="1564" ht="24" customHeight="1">
      <x:c r="A1564" s="1" t="inlineStr">
        <x:is>
          <x:t xml:space="preserve">RESULT</x:t>
        </x:is>
      </x:c>
      <x:c r="B1564" s="1" t="inlineStr">
        <x:is>
          <x:t xml:space="preserve">Round2</x:t>
        </x:is>
      </x:c>
      <x:c r="C1564" s="1" t="inlineStr">
        <x:is>
          <x:t xml:space="preserve">Math_29</x:t>
        </x:is>
      </x:c>
      <x:c r="D1564" s="1" t="inlineStr">
        <x:is>
          <x:t xml:space="preserve">INCONCLUSIVE</x:t>
        </x:is>
      </x:c>
      <x:c r="E1564" s="5">
        <x:v>0.8349</x:v>
      </x:c>
      <x:c r="F1564" s="4">
        <x:v>0</x:v>
      </x:c>
      <x:c r="G1564" s="4"/>
      <x:c r="H1564" s="6"/>
      <x:c r="I1564" s="16">
        <x:v>1</x:v>
      </x:c>
      <x:c r="J1564">
        <x:v>321</x:v>
      </x:c>
      <x:c r="K1564" s="4">
        <x:v>268</x:v>
      </x:c>
      <x:c r="L1564" s="4">
        <x:v>134</x:v>
      </x:c>
      <x:c r="M1564" s="4">
        <x:v>101</x:v>
      </x:c>
      <x:c r="N1564" s="5">
        <x:v>0.7537</x:v>
      </x:c>
    </x:row>
    <x:row r="1565" ht="24" customHeight="1">
      <x:c r="A1565" s="1" t="inlineStr">
        <x:is>
          <x:t xml:space="preserve">RESULT</x:t>
        </x:is>
      </x:c>
      <x:c r="B1565" s="1" t="inlineStr">
        <x:is>
          <x:t xml:space="preserve">Round2</x:t>
        </x:is>
      </x:c>
      <x:c r="C1565" s="1" t="inlineStr">
        <x:is>
          <x:t xml:space="preserve">Math_3</x:t>
        </x:is>
      </x:c>
      <x:c r="D1565" s="1" t="inlineStr">
        <x:is>
          <x:t xml:space="preserve">INCONCLUSIVE</x:t>
        </x:is>
      </x:c>
      <x:c r="E1565" s="5">
        <x:v>0.6729999999999999</x:v>
      </x:c>
      <x:c r="F1565" s="4">
        <x:v>0</x:v>
      </x:c>
      <x:c r="G1565" s="4"/>
      <x:c r="H1565" s="6"/>
      <x:c r="I1565" s="16">
        <x:v>1</x:v>
      </x:c>
      <x:c r="J1565">
        <x:v>419</x:v>
      </x:c>
      <x:c r="K1565" s="4">
        <x:v>282</x:v>
      </x:c>
      <x:c r="L1565" s="4">
        <x:v>234</x:v>
      </x:c>
      <x:c r="M1565" s="4">
        <x:v>190</x:v>
      </x:c>
      <x:c r="N1565" s="5">
        <x:v>0.812</x:v>
      </x:c>
    </x:row>
    <x:row r="1566" ht="24" customHeight="1">
      <x:c r="A1566" s="1" t="inlineStr">
        <x:is>
          <x:t xml:space="preserve">RESULT</x:t>
        </x:is>
      </x:c>
      <x:c r="B1566" s="1" t="inlineStr">
        <x:is>
          <x:t xml:space="preserve">Round2</x:t>
        </x:is>
      </x:c>
      <x:c r="C1566" s="1" t="inlineStr">
        <x:is>
          <x:t xml:space="preserve">Math_30</x:t>
        </x:is>
      </x:c>
      <x:c r="D1566" s="1" t="inlineStr">
        <x:is>
          <x:t xml:space="preserve">INCONCLUSIVE</x:t>
        </x:is>
      </x:c>
      <x:c r="E1566" s="5">
        <x:v>1.0</x:v>
      </x:c>
      <x:c r="F1566" s="4">
        <x:v>0</x:v>
      </x:c>
      <x:c r="G1566" s="4"/>
      <x:c r="H1566" s="6"/>
      <x:c r="I1566" s="16">
        <x:v>1</x:v>
      </x:c>
      <x:c r="J1566">
        <x:v>34</x:v>
      </x:c>
      <x:c r="K1566" s="4">
        <x:v>34</x:v>
      </x:c>
      <x:c r="L1566" s="4">
        <x:v>10</x:v>
      </x:c>
      <x:c r="M1566" s="4">
        <x:v>10</x:v>
      </x:c>
      <x:c r="N1566" s="5">
        <x:v>1.0</x:v>
      </x:c>
    </x:row>
    <x:row r="1567" ht="24" customHeight="1">
      <x:c r="A1567" s="1" t="inlineStr">
        <x:is>
          <x:t xml:space="preserve">RESULT</x:t>
        </x:is>
      </x:c>
      <x:c r="B1567" s="1" t="inlineStr">
        <x:is>
          <x:t xml:space="preserve">Round2</x:t>
        </x:is>
      </x:c>
      <x:c r="C1567" s="1" t="inlineStr">
        <x:is>
          <x:t xml:space="preserve">Math_31</x:t>
        </x:is>
      </x:c>
      <x:c r="D1567" s="1" t="inlineStr">
        <x:is>
          <x:t xml:space="preserve">INCONCLUSIVE</x:t>
        </x:is>
      </x:c>
      <x:c r="E1567" s="5">
        <x:v>0.9322</x:v>
      </x:c>
      <x:c r="F1567" s="4">
        <x:v>0</x:v>
      </x:c>
      <x:c r="G1567" s="4"/>
      <x:c r="H1567" s="6"/>
      <x:c r="I1567" s="16">
        <x:v>1</x:v>
      </x:c>
      <x:c r="J1567">
        <x:v>59</x:v>
      </x:c>
      <x:c r="K1567" s="4">
        <x:v>55</x:v>
      </x:c>
      <x:c r="L1567" s="4">
        <x:v>30</x:v>
      </x:c>
      <x:c r="M1567" s="4">
        <x:v>22</x:v>
      </x:c>
      <x:c r="N1567" s="5">
        <x:v>0.7333</x:v>
      </x:c>
    </x:row>
    <x:row r="1568" ht="24" customHeight="1">
      <x:c r="A1568" s="1" t="inlineStr">
        <x:is>
          <x:t xml:space="preserve">RESULT</x:t>
        </x:is>
      </x:c>
      <x:c r="B1568" s="1" t="inlineStr">
        <x:is>
          <x:t xml:space="preserve">Round2</x:t>
        </x:is>
      </x:c>
      <x:c r="C1568" s="1" t="inlineStr">
        <x:is>
          <x:t xml:space="preserve">Math_32</x:t>
        </x:is>
      </x:c>
      <x:c r="D1568" s="1" t="inlineStr">
        <x:is>
          <x:t xml:space="preserve">NOT_AVAILABLE</x:t>
        </x:is>
      </x:c>
      <x:c r="E1568" s="5"/>
      <x:c r="F1568" s="4">
        <x:v>0</x:v>
      </x:c>
      <x:c r="G1568" s="4">
        <x:v>28414</x:v>
      </x:c>
      <x:c r="H1568" s="6">
        <x:v>119.36</x:v>
      </x:c>
      <x:c r="I1568" s="16">
        <x:v>1</x:v>
      </x:c>
      <x:c r="J1568"/>
      <x:c r="K1568" s="4"/>
      <x:c r="L1568" s="4"/>
      <x:c r="M1568" s="4"/>
      <x:c r="N1568" s="5"/>
    </x:row>
    <x:row r="1569" ht="24" customHeight="1">
      <x:c r="A1569" s="1" t="inlineStr">
        <x:is>
          <x:t xml:space="preserve">RESULT</x:t>
        </x:is>
      </x:c>
      <x:c r="B1569" s="1" t="inlineStr">
        <x:is>
          <x:t xml:space="preserve">Round2</x:t>
        </x:is>
      </x:c>
      <x:c r="C1569" s="1" t="inlineStr">
        <x:is>
          <x:t xml:space="preserve">Math_33</x:t>
        </x:is>
      </x:c>
      <x:c r="D1569" s="1" t="inlineStr">
        <x:is>
          <x:t xml:space="preserve">NOT_AVAILABLE</x:t>
        </x:is>
      </x:c>
      <x:c r="E1569" s="5"/>
      <x:c r="F1569" s="4">
        <x:v>0</x:v>
      </x:c>
      <x:c r="G1569" s="4">
        <x:v>12582</x:v>
      </x:c>
      <x:c r="H1569" s="6">
        <x:v>49.25</x:v>
      </x:c>
      <x:c r="I1569" s="16">
        <x:v>1</x:v>
      </x:c>
      <x:c r="J1569"/>
      <x:c r="K1569" s="4"/>
      <x:c r="L1569" s="4"/>
      <x:c r="M1569" s="4"/>
      <x:c r="N1569" s="5"/>
    </x:row>
    <x:row r="1570" ht="24" customHeight="1">
      <x:c r="A1570" s="1" t="inlineStr">
        <x:is>
          <x:t xml:space="preserve">RESULT</x:t>
        </x:is>
      </x:c>
      <x:c r="B1570" s="1" t="inlineStr">
        <x:is>
          <x:t xml:space="preserve">Round2</x:t>
        </x:is>
      </x:c>
      <x:c r="C1570" s="1" t="inlineStr">
        <x:is>
          <x:t xml:space="preserve">Math_34</x:t>
        </x:is>
      </x:c>
      <x:c r="D1570" s="1" t="inlineStr">
        <x:is>
          <x:t xml:space="preserve">NOT_AVAILABLE</x:t>
        </x:is>
      </x:c>
      <x:c r="E1570" s="5"/>
      <x:c r="F1570" s="4">
        <x:v>0</x:v>
      </x:c>
      <x:c r="G1570" s="4">
        <x:v>32920</x:v>
      </x:c>
      <x:c r="H1570" s="6">
        <x:v>144.15</x:v>
      </x:c>
      <x:c r="I1570" s="16">
        <x:v>1</x:v>
      </x:c>
      <x:c r="J1570"/>
      <x:c r="K1570" s="4"/>
      <x:c r="L1570" s="4"/>
      <x:c r="M1570" s="4"/>
      <x:c r="N1570" s="5"/>
    </x:row>
    <x:row r="1571" ht="24" customHeight="1">
      <x:c r="A1571" s="1" t="inlineStr">
        <x:is>
          <x:t xml:space="preserve">RESULT</x:t>
        </x:is>
      </x:c>
      <x:c r="B1571" s="1" t="inlineStr">
        <x:is>
          <x:t xml:space="preserve">Round2</x:t>
        </x:is>
      </x:c>
      <x:c r="C1571" s="1" t="inlineStr">
        <x:is>
          <x:t xml:space="preserve">Math_35</x:t>
        </x:is>
      </x:c>
      <x:c r="D1571" s="1" t="inlineStr">
        <x:is>
          <x:t xml:space="preserve">NOT_AVAILABLE</x:t>
        </x:is>
      </x:c>
      <x:c r="E1571" s="5"/>
      <x:c r="F1571" s="4">
        <x:v>0</x:v>
      </x:c>
      <x:c r="G1571" s="4">
        <x:v>28649</x:v>
      </x:c>
      <x:c r="H1571" s="6">
        <x:v>129.93</x:v>
      </x:c>
      <x:c r="I1571" s="16">
        <x:v>1</x:v>
      </x:c>
      <x:c r="J1571"/>
      <x:c r="K1571" s="4"/>
      <x:c r="L1571" s="4"/>
      <x:c r="M1571" s="4"/>
      <x:c r="N1571" s="5"/>
    </x:row>
    <x:row r="1572" ht="24" customHeight="1">
      <x:c r="A1572" s="1" t="inlineStr">
        <x:is>
          <x:t xml:space="preserve">RESULT</x:t>
        </x:is>
      </x:c>
      <x:c r="B1572" s="1" t="inlineStr">
        <x:is>
          <x:t xml:space="preserve">Round2</x:t>
        </x:is>
      </x:c>
      <x:c r="C1572" s="1" t="inlineStr">
        <x:is>
          <x:t xml:space="preserve">Math_36</x:t>
        </x:is>
      </x:c>
      <x:c r="D1572" s="1" t="inlineStr">
        <x:is>
          <x:t xml:space="preserve">INCONCLUSIVE</x:t>
        </x:is>
      </x:c>
      <x:c r="E1572" s="5">
        <x:v>0.9348000000000001</x:v>
      </x:c>
      <x:c r="F1572" s="4">
        <x:v>0</x:v>
      </x:c>
      <x:c r="G1572" s="4">
        <x:v>16564</x:v>
      </x:c>
      <x:c r="H1572" s="6">
        <x:v>88.23</x:v>
      </x:c>
      <x:c r="I1572" s="16">
        <x:v>1</x:v>
      </x:c>
      <x:c r="J1572">
        <x:v>230</x:v>
      </x:c>
      <x:c r="K1572" s="4">
        <x:v>215</x:v>
      </x:c>
      <x:c r="L1572" s="4">
        <x:v>92</x:v>
      </x:c>
      <x:c r="M1572" s="4">
        <x:v>79</x:v>
      </x:c>
      <x:c r="N1572" s="5">
        <x:v>0.8587</x:v>
      </x:c>
    </x:row>
    <x:row r="1573" ht="24" customHeight="1">
      <x:c r="A1573" s="1" t="inlineStr">
        <x:is>
          <x:t xml:space="preserve">RESULT</x:t>
        </x:is>
      </x:c>
      <x:c r="B1573" s="1" t="inlineStr">
        <x:is>
          <x:t xml:space="preserve">Round2</x:t>
        </x:is>
      </x:c>
      <x:c r="C1573" s="1" t="inlineStr">
        <x:is>
          <x:t xml:space="preserve">Math_37</x:t>
        </x:is>
      </x:c>
      <x:c r="D1573" s="1" t="inlineStr">
        <x:is>
          <x:t xml:space="preserve">INCONCLUSIVE</x:t>
        </x:is>
      </x:c>
      <x:c r="E1573" s="5">
        <x:v>0.8864</x:v>
      </x:c>
      <x:c r="F1573" s="4">
        <x:v>0</x:v>
      </x:c>
      <x:c r="G1573" s="4">
        <x:v>31294</x:v>
      </x:c>
      <x:c r="H1573" s="6">
        <x:v>1166.69</x:v>
      </x:c>
      <x:c r="I1573" s="16">
        <x:v>1</x:v>
      </x:c>
      <x:c r="J1573">
        <x:v>220</x:v>
      </x:c>
      <x:c r="K1573" s="4">
        <x:v>195</x:v>
      </x:c>
      <x:c r="L1573" s="4">
        <x:v>158</x:v>
      </x:c>
      <x:c r="M1573" s="4">
        <x:v>113</x:v>
      </x:c>
      <x:c r="N1573" s="5">
        <x:v>0.7152</x:v>
      </x:c>
    </x:row>
    <x:row r="1574" ht="24" customHeight="1">
      <x:c r="A1574" s="1" t="inlineStr">
        <x:is>
          <x:t xml:space="preserve">RESULT</x:t>
        </x:is>
      </x:c>
      <x:c r="B1574" s="1" t="inlineStr">
        <x:is>
          <x:t xml:space="preserve">Round2</x:t>
        </x:is>
      </x:c>
      <x:c r="C1574" s="1" t="inlineStr">
        <x:is>
          <x:t xml:space="preserve">Math_38</x:t>
        </x:is>
      </x:c>
      <x:c r="D1574" s="1" t="inlineStr">
        <x:is>
          <x:t xml:space="preserve">NOT_AVAILABLE</x:t>
        </x:is>
      </x:c>
      <x:c r="E1574" s="5"/>
      <x:c r="F1574" s="4">
        <x:v>0</x:v>
      </x:c>
      <x:c r="G1574" s="4">
        <x:v>22926</x:v>
      </x:c>
      <x:c r="H1574" s="6">
        <x:v>34.78</x:v>
      </x:c>
      <x:c r="I1574" s="16">
        <x:v>1</x:v>
      </x:c>
      <x:c r="J1574"/>
      <x:c r="K1574" s="4"/>
      <x:c r="L1574" s="4"/>
      <x:c r="M1574" s="4"/>
      <x:c r="N1574" s="5"/>
    </x:row>
    <x:row r="1575" ht="24" customHeight="1">
      <x:c r="A1575" s="1" t="inlineStr">
        <x:is>
          <x:t xml:space="preserve">RESULT</x:t>
        </x:is>
      </x:c>
      <x:c r="B1575" s="1" t="inlineStr">
        <x:is>
          <x:t xml:space="preserve">Round2</x:t>
        </x:is>
      </x:c>
      <x:c r="C1575" s="1" t="inlineStr">
        <x:is>
          <x:t xml:space="preserve">Math_39</x:t>
        </x:is>
      </x:c>
      <x:c r="D1575" s="1" t="inlineStr">
        <x:is>
          <x:t xml:space="preserve">NOT_REVEALING</x:t>
        </x:is>
      </x:c>
      <x:c r="E1575" s="5">
        <x:v>0.9906999999999999</x:v>
      </x:c>
      <x:c r="F1575" s="4">
        <x:v>0</x:v>
      </x:c>
      <x:c r="G1575" s="4">
        <x:v>49518</x:v>
      </x:c>
      <x:c r="H1575" s="6">
        <x:v>225.21</x:v>
      </x:c>
      <x:c r="I1575" s="16">
        <x:v>1</x:v>
      </x:c>
      <x:c r="J1575">
        <x:v>107</x:v>
      </x:c>
      <x:c r="K1575" s="4">
        <x:v>106</x:v>
      </x:c>
      <x:c r="L1575" s="4">
        <x:v>48</x:v>
      </x:c>
      <x:c r="M1575" s="4">
        <x:v>47</x:v>
      </x:c>
      <x:c r="N1575" s="5">
        <x:v>0.9792000000000001</x:v>
      </x:c>
    </x:row>
    <x:row r="1576" ht="24" customHeight="1">
      <x:c r="A1576" s="1" t="inlineStr">
        <x:is>
          <x:t xml:space="preserve">RESULT</x:t>
        </x:is>
      </x:c>
      <x:c r="B1576" s="1" t="inlineStr">
        <x:is>
          <x:t xml:space="preserve">Round2</x:t>
        </x:is>
      </x:c>
      <x:c r="C1576" s="1" t="inlineStr">
        <x:is>
          <x:t xml:space="preserve">Math_4</x:t>
        </x:is>
      </x:c>
      <x:c r="D1576" s="1" t="inlineStr">
        <x:is>
          <x:t xml:space="preserve">NOT_AVAILABLE</x:t>
        </x:is>
      </x:c>
      <x:c r="E1576" s="5"/>
      <x:c r="F1576" s="4">
        <x:v>0</x:v>
      </x:c>
      <x:c r="G1576" s="4">
        <x:v>19297</x:v>
      </x:c>
      <x:c r="H1576" s="6">
        <x:v>114.39</x:v>
      </x:c>
      <x:c r="I1576" s="16">
        <x:v>1</x:v>
      </x:c>
      <x:c r="J1576"/>
      <x:c r="K1576" s="4"/>
      <x:c r="L1576" s="4"/>
      <x:c r="M1576" s="4"/>
      <x:c r="N1576" s="5"/>
    </x:row>
    <x:row r="1577" ht="24" customHeight="1">
      <x:c r="A1577" s="1" t="inlineStr">
        <x:is>
          <x:t xml:space="preserve">RESULT</x:t>
        </x:is>
      </x:c>
      <x:c r="B1577" s="1" t="inlineStr">
        <x:is>
          <x:t xml:space="preserve">Round2</x:t>
        </x:is>
      </x:c>
      <x:c r="C1577" s="1" t="inlineStr">
        <x:is>
          <x:t xml:space="preserve">Math_40</x:t>
        </x:is>
      </x:c>
      <x:c r="D1577" s="1" t="inlineStr">
        <x:is>
          <x:t xml:space="preserve">INCONCLUSIVE</x:t>
        </x:is>
      </x:c>
      <x:c r="E1577" s="5">
        <x:v>0.8016</x:v>
      </x:c>
      <x:c r="F1577" s="4">
        <x:v>0</x:v>
      </x:c>
      <x:c r="G1577" s="4"/>
      <x:c r="H1577" s="6"/>
      <x:c r="I1577" s="16">
        <x:v>1</x:v>
      </x:c>
      <x:c r="J1577">
        <x:v>126</x:v>
      </x:c>
      <x:c r="K1577" s="4">
        <x:v>101</x:v>
      </x:c>
      <x:c r="L1577" s="4">
        <x:v>66</x:v>
      </x:c>
      <x:c r="M1577" s="4">
        <x:v>45</x:v>
      </x:c>
      <x:c r="N1577" s="5">
        <x:v>0.6818000000000001</x:v>
      </x:c>
    </x:row>
    <x:row r="1578" ht="24" customHeight="1">
      <x:c r="A1578" s="1" t="inlineStr">
        <x:is>
          <x:t xml:space="preserve">RESULT</x:t>
        </x:is>
      </x:c>
      <x:c r="B1578" s="1" t="inlineStr">
        <x:is>
          <x:t xml:space="preserve">Round2</x:t>
        </x:is>
      </x:c>
      <x:c r="C1578" s="1" t="inlineStr">
        <x:is>
          <x:t xml:space="preserve">Math_41</x:t>
        </x:is>
      </x:c>
      <x:c r="D1578" s="1" t="inlineStr">
        <x:is>
          <x:t xml:space="preserve">INCONCLUSIVE</x:t>
        </x:is>
      </x:c>
      <x:c r="E1578" s="5">
        <x:v>0.9196</x:v>
      </x:c>
      <x:c r="F1578" s="4">
        <x:v>0</x:v>
      </x:c>
      <x:c r="G1578" s="4"/>
      <x:c r="H1578" s="6"/>
      <x:c r="I1578" s="16">
        <x:v>1</x:v>
      </x:c>
      <x:c r="J1578">
        <x:v>112</x:v>
      </x:c>
      <x:c r="K1578" s="4">
        <x:v>103</x:v>
      </x:c>
      <x:c r="L1578" s="4">
        <x:v>46</x:v>
      </x:c>
      <x:c r="M1578" s="4">
        <x:v>33</x:v>
      </x:c>
      <x:c r="N1578" s="5">
        <x:v>0.7173999999999999</x:v>
      </x:c>
    </x:row>
    <x:row r="1579" ht="24" customHeight="1">
      <x:c r="A1579" s="1" t="inlineStr">
        <x:is>
          <x:t xml:space="preserve">RESULT</x:t>
        </x:is>
      </x:c>
      <x:c r="B1579" s="1" t="inlineStr">
        <x:is>
          <x:t xml:space="preserve">Round2</x:t>
        </x:is>
      </x:c>
      <x:c r="C1579" s="1" t="inlineStr">
        <x:is>
          <x:t xml:space="preserve">Math_42</x:t>
        </x:is>
      </x:c>
      <x:c r="D1579" s="1" t="inlineStr">
        <x:is>
          <x:t xml:space="preserve">INCONCLUSIVE</x:t>
        </x:is>
      </x:c>
      <x:c r="E1579" s="5">
        <x:v>0.7143</x:v>
      </x:c>
      <x:c r="F1579" s="4">
        <x:v>0</x:v>
      </x:c>
      <x:c r="G1579" s="4"/>
      <x:c r="H1579" s="6"/>
      <x:c r="I1579" s="16">
        <x:v>1</x:v>
      </x:c>
      <x:c r="J1579">
        <x:v>182</x:v>
      </x:c>
      <x:c r="K1579" s="4">
        <x:v>130</x:v>
      </x:c>
      <x:c r="L1579" s="4">
        <x:v>120</x:v>
      </x:c>
      <x:c r="M1579" s="4">
        <x:v>68</x:v>
      </x:c>
      <x:c r="N1579" s="5">
        <x:v>0.5667</x:v>
      </x:c>
    </x:row>
    <x:row r="1580" ht="24" customHeight="1">
      <x:c r="A1580" s="1" t="inlineStr">
        <x:is>
          <x:t xml:space="preserve">RESULT</x:t>
        </x:is>
      </x:c>
      <x:c r="B1580" s="1" t="inlineStr">
        <x:is>
          <x:t xml:space="preserve">Round2</x:t>
        </x:is>
      </x:c>
      <x:c r="C1580" s="1" t="inlineStr">
        <x:is>
          <x:t xml:space="preserve">Math_43</x:t>
        </x:is>
      </x:c>
      <x:c r="D1580" s="1" t="inlineStr">
        <x:is>
          <x:t xml:space="preserve">INCONCLUSIVE</x:t>
        </x:is>
      </x:c>
      <x:c r="E1580" s="5">
        <x:v>0.8957999999999999</x:v>
      </x:c>
      <x:c r="F1580" s="4">
        <x:v>0</x:v>
      </x:c>
      <x:c r="G1580" s="4"/>
      <x:c r="H1580" s="6"/>
      <x:c r="I1580" s="16">
        <x:v>1</x:v>
      </x:c>
      <x:c r="J1580">
        <x:v>192</x:v>
      </x:c>
      <x:c r="K1580" s="4">
        <x:v>172</x:v>
      </x:c>
      <x:c r="L1580" s="4">
        <x:v>58</x:v>
      </x:c>
      <x:c r="M1580" s="4">
        <x:v>34</x:v>
      </x:c>
      <x:c r="N1580" s="5">
        <x:v>0.5861999999999999</x:v>
      </x:c>
    </x:row>
    <x:row r="1581" ht="24" customHeight="1">
      <x:c r="A1581" s="1" t="inlineStr">
        <x:is>
          <x:t xml:space="preserve">RESULT</x:t>
        </x:is>
      </x:c>
      <x:c r="B1581" s="1" t="inlineStr">
        <x:is>
          <x:t xml:space="preserve">Round2</x:t>
        </x:is>
      </x:c>
      <x:c r="C1581" s="1" t="inlineStr">
        <x:is>
          <x:t xml:space="preserve">Math_44</x:t>
        </x:is>
      </x:c>
      <x:c r="D1581" s="1" t="inlineStr">
        <x:is>
          <x:t xml:space="preserve">NOT_AVAILABLE</x:t>
        </x:is>
      </x:c>
      <x:c r="E1581" s="5"/>
      <x:c r="F1581" s="4">
        <x:v>0</x:v>
      </x:c>
      <x:c r="G1581" s="4">
        <x:v>16542</x:v>
      </x:c>
      <x:c r="H1581" s="6">
        <x:v>102.94</x:v>
      </x:c>
      <x:c r="I1581" s="16">
        <x:v>1</x:v>
      </x:c>
      <x:c r="J1581"/>
      <x:c r="K1581" s="4"/>
      <x:c r="L1581" s="4"/>
      <x:c r="M1581" s="4"/>
      <x:c r="N1581" s="5"/>
    </x:row>
    <x:row r="1582" ht="24" customHeight="1">
      <x:c r="A1582" s="1" t="inlineStr">
        <x:is>
          <x:t xml:space="preserve">RESULT</x:t>
        </x:is>
      </x:c>
      <x:c r="B1582" s="1" t="inlineStr">
        <x:is>
          <x:t xml:space="preserve">Round2</x:t>
        </x:is>
      </x:c>
      <x:c r="C1582" s="1" t="inlineStr">
        <x:is>
          <x:t xml:space="preserve">Math_45</x:t>
        </x:is>
      </x:c>
      <x:c r="D1582" s="1" t="inlineStr">
        <x:is>
          <x:t xml:space="preserve">INCONCLUSIVE</x:t>
        </x:is>
      </x:c>
      <x:c r="E1582" s="5">
        <x:v>0.9588</x:v>
      </x:c>
      <x:c r="F1582" s="4">
        <x:v>0</x:v>
      </x:c>
      <x:c r="G1582" s="4"/>
      <x:c r="H1582" s="6"/>
      <x:c r="I1582" s="16">
        <x:v>1</x:v>
      </x:c>
      <x:c r="J1582">
        <x:v>97</x:v>
      </x:c>
      <x:c r="K1582" s="4">
        <x:v>93</x:v>
      </x:c>
      <x:c r="L1582" s="4">
        <x:v>22</x:v>
      </x:c>
      <x:c r="M1582" s="4">
        <x:v>21</x:v>
      </x:c>
      <x:c r="N1582" s="5">
        <x:v>0.9545</x:v>
      </x:c>
    </x:row>
    <x:row r="1583" ht="24" customHeight="1">
      <x:c r="A1583" s="1" t="inlineStr">
        <x:is>
          <x:t xml:space="preserve">RESULT</x:t>
        </x:is>
      </x:c>
      <x:c r="B1583" s="1" t="inlineStr">
        <x:is>
          <x:t xml:space="preserve">Round2</x:t>
        </x:is>
      </x:c>
      <x:c r="C1583" s="1" t="inlineStr">
        <x:is>
          <x:t xml:space="preserve">Math_46</x:t>
        </x:is>
      </x:c>
      <x:c r="D1583" s="1" t="inlineStr">
        <x:is>
          <x:t xml:space="preserve">INCONCLUSIVE</x:t>
        </x:is>
      </x:c>
      <x:c r="E1583" s="5">
        <x:v>0.7822</x:v>
      </x:c>
      <x:c r="F1583" s="4">
        <x:v>0</x:v>
      </x:c>
      <x:c r="G1583" s="4">
        <x:v>14158</x:v>
      </x:c>
      <x:c r="H1583" s="6">
        <x:v>74.07</x:v>
      </x:c>
      <x:c r="I1583" s="16">
        <x:v>1</x:v>
      </x:c>
      <x:c r="J1583">
        <x:v>202</x:v>
      </x:c>
      <x:c r="K1583" s="4">
        <x:v>158</x:v>
      </x:c>
      <x:c r="L1583" s="4">
        <x:v>148</x:v>
      </x:c>
      <x:c r="M1583" s="4">
        <x:v>109</x:v>
      </x:c>
      <x:c r="N1583" s="5">
        <x:v>0.7365</x:v>
      </x:c>
    </x:row>
    <x:row r="1584" ht="24" customHeight="1">
      <x:c r="A1584" s="1" t="inlineStr">
        <x:is>
          <x:t xml:space="preserve">RESULT</x:t>
        </x:is>
      </x:c>
      <x:c r="B1584" s="1" t="inlineStr">
        <x:is>
          <x:t xml:space="preserve">Round2</x:t>
        </x:is>
      </x:c>
      <x:c r="C1584" s="1" t="inlineStr">
        <x:is>
          <x:t xml:space="preserve">Math_47</x:t>
        </x:is>
      </x:c>
      <x:c r="D1584" s="1" t="inlineStr">
        <x:is>
          <x:t xml:space="preserve">INCONCLUSIVE</x:t>
        </x:is>
      </x:c>
      <x:c r="E1584" s="5">
        <x:v>0.8059999999999999</x:v>
      </x:c>
      <x:c r="F1584" s="4">
        <x:v>0</x:v>
      </x:c>
      <x:c r="G1584" s="4">
        <x:v>8115</x:v>
      </x:c>
      <x:c r="H1584" s="6">
        <x:v>27.89</x:v>
      </x:c>
      <x:c r="I1584" s="16">
        <x:v>1</x:v>
      </x:c>
      <x:c r="J1584">
        <x:v>201</x:v>
      </x:c>
      <x:c r="K1584" s="4">
        <x:v>162</x:v>
      </x:c>
      <x:c r="L1584" s="4">
        <x:v>142</x:v>
      </x:c>
      <x:c r="M1584" s="4">
        <x:v>107</x:v>
      </x:c>
      <x:c r="N1584" s="5">
        <x:v>0.7535</x:v>
      </x:c>
    </x:row>
    <x:row r="1585" ht="24" customHeight="1">
      <x:c r="A1585" s="1" t="inlineStr">
        <x:is>
          <x:t xml:space="preserve">RESULT</x:t>
        </x:is>
      </x:c>
      <x:c r="B1585" s="1" t="inlineStr">
        <x:is>
          <x:t xml:space="preserve">Round2</x:t>
        </x:is>
      </x:c>
      <x:c r="C1585" s="1" t="inlineStr">
        <x:is>
          <x:t xml:space="preserve">Math_48</x:t>
        </x:is>
      </x:c>
      <x:c r="D1585" s="1" t="inlineStr">
        <x:is>
          <x:t xml:space="preserve">NOT_REVEALING</x:t>
        </x:is>
      </x:c>
      <x:c r="E1585" s="5">
        <x:v>0.7670999999999999</x:v>
      </x:c>
      <x:c r="F1585" s="4">
        <x:v>0</x:v>
      </x:c>
      <x:c r="G1585" s="4">
        <x:v>36454</x:v>
      </x:c>
      <x:c r="H1585" s="6">
        <x:v>166.54</x:v>
      </x:c>
      <x:c r="I1585" s="16">
        <x:v>1</x:v>
      </x:c>
      <x:c r="J1585">
        <x:v>73</x:v>
      </x:c>
      <x:c r="K1585" s="4">
        <x:v>56</x:v>
      </x:c>
      <x:c r="L1585" s="4">
        <x:v>46</x:v>
      </x:c>
      <x:c r="M1585" s="4">
        <x:v>29</x:v>
      </x:c>
      <x:c r="N1585" s="5">
        <x:v>0.6304</x:v>
      </x:c>
    </x:row>
    <x:row r="1586" ht="24" customHeight="1">
      <x:c r="A1586" s="1" t="inlineStr">
        <x:is>
          <x:t xml:space="preserve">RESULT</x:t>
        </x:is>
      </x:c>
      <x:c r="B1586" s="1" t="inlineStr">
        <x:is>
          <x:t xml:space="preserve">Round2</x:t>
        </x:is>
      </x:c>
      <x:c r="C1586" s="1" t="inlineStr">
        <x:is>
          <x:t xml:space="preserve">Math_49</x:t>
        </x:is>
      </x:c>
      <x:c r="D1586" s="1" t="inlineStr">
        <x:is>
          <x:t xml:space="preserve">NOT_REVEALING</x:t>
        </x:is>
      </x:c>
      <x:c r="E1586" s="5">
        <x:v>0.9365000000000001</x:v>
      </x:c>
      <x:c r="F1586" s="4">
        <x:v>0</x:v>
      </x:c>
      <x:c r="G1586" s="4">
        <x:v>27737</x:v>
      </x:c>
      <x:c r="H1586" s="6">
        <x:v>101.38</x:v>
      </x:c>
      <x:c r="I1586" s="16">
        <x:v>1</x:v>
      </x:c>
      <x:c r="J1586">
        <x:v>378</x:v>
      </x:c>
      <x:c r="K1586" s="4">
        <x:v>354</x:v>
      </x:c>
      <x:c r="L1586" s="4">
        <x:v>152</x:v>
      </x:c>
      <x:c r="M1586" s="4">
        <x:v>135</x:v>
      </x:c>
      <x:c r="N1586" s="5">
        <x:v>0.8881999999999999</x:v>
      </x:c>
    </x:row>
    <x:row r="1587" ht="24" customHeight="1">
      <x:c r="A1587" s="1" t="inlineStr">
        <x:is>
          <x:t xml:space="preserve">RESULT</x:t>
        </x:is>
      </x:c>
      <x:c r="B1587" s="1" t="inlineStr">
        <x:is>
          <x:t xml:space="preserve">Round2</x:t>
        </x:is>
      </x:c>
      <x:c r="C1587" s="1" t="inlineStr">
        <x:is>
          <x:t xml:space="preserve">Math_5</x:t>
        </x:is>
      </x:c>
      <x:c r="D1587" s="1" t="inlineStr">
        <x:is>
          <x:t xml:space="preserve">INCONCLUSIVE</x:t>
        </x:is>
      </x:c>
      <x:c r="E1587" s="5">
        <x:v>0.6416</x:v>
      </x:c>
      <x:c r="F1587" s="4">
        <x:v>0</x:v>
      </x:c>
      <x:c r="G1587" s="4">
        <x:v>33100</x:v>
      </x:c>
      <x:c r="H1587" s="6">
        <x:v>1230.06</x:v>
      </x:c>
      <x:c r="I1587" s="16">
        <x:v>1</x:v>
      </x:c>
      <x:c r="J1587">
        <x:v>226</x:v>
      </x:c>
      <x:c r="K1587" s="4">
        <x:v>145</x:v>
      </x:c>
      <x:c r="L1587" s="4">
        <x:v>170</x:v>
      </x:c>
      <x:c r="M1587" s="4">
        <x:v>93</x:v>
      </x:c>
      <x:c r="N1587" s="5">
        <x:v>0.5471</x:v>
      </x:c>
    </x:row>
    <x:row r="1588" ht="24" customHeight="1">
      <x:c r="A1588" s="1" t="inlineStr">
        <x:is>
          <x:t xml:space="preserve">RESULT</x:t>
        </x:is>
      </x:c>
      <x:c r="B1588" s="1" t="inlineStr">
        <x:is>
          <x:t xml:space="preserve">Round2</x:t>
        </x:is>
      </x:c>
      <x:c r="C1588" s="1" t="inlineStr">
        <x:is>
          <x:t xml:space="preserve">Math_50</x:t>
        </x:is>
      </x:c>
      <x:c r="D1588" s="1" t="inlineStr">
        <x:is>
          <x:t xml:space="preserve">INCONCLUSIVE</x:t>
        </x:is>
      </x:c>
      <x:c r="E1588" s="5">
        <x:v>0.7867000000000001</x:v>
      </x:c>
      <x:c r="F1588" s="4">
        <x:v>0</x:v>
      </x:c>
      <x:c r="G1588" s="4">
        <x:v>27582</x:v>
      </x:c>
      <x:c r="H1588" s="6">
        <x:v>128.01</x:v>
      </x:c>
      <x:c r="I1588" s="16">
        <x:v>1</x:v>
      </x:c>
      <x:c r="J1588">
        <x:v>75</x:v>
      </x:c>
      <x:c r="K1588" s="4">
        <x:v>59</x:v>
      </x:c>
      <x:c r="L1588" s="4">
        <x:v>48</x:v>
      </x:c>
      <x:c r="M1588" s="4">
        <x:v>29</x:v>
      </x:c>
      <x:c r="N1588" s="5">
        <x:v>0.6042000000000001</x:v>
      </x:c>
    </x:row>
    <x:row r="1589" ht="24" customHeight="1">
      <x:c r="A1589" s="1" t="inlineStr">
        <x:is>
          <x:t xml:space="preserve">RESULT</x:t>
        </x:is>
      </x:c>
      <x:c r="B1589" s="1" t="inlineStr">
        <x:is>
          <x:t xml:space="preserve">Round2</x:t>
        </x:is>
      </x:c>
      <x:c r="C1589" s="1" t="inlineStr">
        <x:is>
          <x:t xml:space="preserve">Math_51</x:t>
        </x:is>
      </x:c>
      <x:c r="D1589" s="1" t="inlineStr">
        <x:is>
          <x:t xml:space="preserve">INCONCLUSIVE</x:t>
        </x:is>
      </x:c>
      <x:c r="E1589" s="5">
        <x:v>0.8028</x:v>
      </x:c>
      <x:c r="F1589" s="4">
        <x:v>0</x:v>
      </x:c>
      <x:c r="G1589" s="4">
        <x:v>37252</x:v>
      </x:c>
      <x:c r="H1589" s="6">
        <x:v>173.8</x:v>
      </x:c>
      <x:c r="I1589" s="16">
        <x:v>1</x:v>
      </x:c>
      <x:c r="J1589">
        <x:v>71</x:v>
      </x:c>
      <x:c r="K1589" s="4">
        <x:v>57</x:v>
      </x:c>
      <x:c r="L1589" s="4">
        <x:v>45</x:v>
      </x:c>
      <x:c r="M1589" s="4">
        <x:v>23</x:v>
      </x:c>
      <x:c r="N1589" s="5">
        <x:v>0.5111</x:v>
      </x:c>
    </x:row>
    <x:row r="1590" ht="24" customHeight="1">
      <x:c r="A1590" s="1" t="inlineStr">
        <x:is>
          <x:t xml:space="preserve">RESULT</x:t>
        </x:is>
      </x:c>
      <x:c r="B1590" s="1" t="inlineStr">
        <x:is>
          <x:t xml:space="preserve">Round2</x:t>
        </x:is>
      </x:c>
      <x:c r="C1590" s="1" t="inlineStr">
        <x:is>
          <x:t xml:space="preserve">Math_52</x:t>
        </x:is>
      </x:c>
      <x:c r="D1590" s="1" t="inlineStr">
        <x:is>
          <x:t xml:space="preserve">NOT_REVEALING</x:t>
        </x:is>
      </x:c>
      <x:c r="E1590" s="5">
        <x:v>0.9292</x:v>
      </x:c>
      <x:c r="F1590" s="4">
        <x:v>0</x:v>
      </x:c>
      <x:c r="G1590" s="4">
        <x:v>55591</x:v>
      </x:c>
      <x:c r="H1590" s="6">
        <x:v>274.63</x:v>
      </x:c>
      <x:c r="I1590" s="16">
        <x:v>1</x:v>
      </x:c>
      <x:c r="J1590">
        <x:v>367</x:v>
      </x:c>
      <x:c r="K1590" s="4">
        <x:v>341</x:v>
      </x:c>
      <x:c r="L1590" s="4">
        <x:v>122</x:v>
      </x:c>
      <x:c r="M1590" s="4">
        <x:v>89</x:v>
      </x:c>
      <x:c r="N1590" s="5">
        <x:v>0.7295</x:v>
      </x:c>
    </x:row>
    <x:row r="1591" ht="24" customHeight="1">
      <x:c r="A1591" s="1" t="inlineStr">
        <x:is>
          <x:t xml:space="preserve">RESULT</x:t>
        </x:is>
      </x:c>
      <x:c r="B1591" s="1" t="inlineStr">
        <x:is>
          <x:t xml:space="preserve">Round2</x:t>
        </x:is>
      </x:c>
      <x:c r="C1591" s="1" t="inlineStr">
        <x:is>
          <x:t xml:space="preserve">Math_53</x:t>
        </x:is>
      </x:c>
      <x:c r="D1591" s="1" t="inlineStr">
        <x:is>
          <x:t xml:space="preserve">NOT_REVEALING</x:t>
        </x:is>
      </x:c>
      <x:c r="E1591" s="5">
        <x:v>0.9823999999999999</x:v>
      </x:c>
      <x:c r="F1591" s="4">
        <x:v>0</x:v>
      </x:c>
      <x:c r="G1591" s="4">
        <x:v>33412</x:v>
      </x:c>
      <x:c r="H1591" s="6">
        <x:v>144.73</x:v>
      </x:c>
      <x:c r="I1591" s="16">
        <x:v>1</x:v>
      </x:c>
      <x:c r="J1591">
        <x:v>170</x:v>
      </x:c>
      <x:c r="K1591" s="4">
        <x:v>167</x:v>
      </x:c>
      <x:c r="L1591" s="4">
        <x:v>114</x:v>
      </x:c>
      <x:c r="M1591" s="4">
        <x:v>100</x:v>
      </x:c>
      <x:c r="N1591" s="5">
        <x:v>0.8772</x:v>
      </x:c>
    </x:row>
    <x:row r="1592" ht="24" customHeight="1">
      <x:c r="A1592" s="1" t="inlineStr">
        <x:is>
          <x:t xml:space="preserve">RESULT</x:t>
        </x:is>
      </x:c>
      <x:c r="B1592" s="1" t="inlineStr">
        <x:is>
          <x:t xml:space="preserve">Round2</x:t>
        </x:is>
      </x:c>
      <x:c r="C1592" s="1" t="inlineStr">
        <x:is>
          <x:t xml:space="preserve">Math_54</x:t>
        </x:is>
      </x:c>
      <x:c r="D1592" s="1" t="inlineStr">
        <x:is>
          <x:t xml:space="preserve">REVEALING</x:t>
        </x:is>
      </x:c>
      <x:c r="E1592" s="5">
        <x:v>0.74</x:v>
      </x:c>
      <x:c r="F1592" s="4">
        <x:v>1</x:v>
      </x:c>
      <x:c r="G1592" s="4">
        <x:v>33836</x:v>
      </x:c>
      <x:c r="H1592" s="6">
        <x:v>101.82</x:v>
      </x:c>
      <x:c r="I1592" s="16">
        <x:v>1</x:v>
      </x:c>
      <x:c r="J1592">
        <x:v>996</x:v>
      </x:c>
      <x:c r="K1592" s="4">
        <x:v>737</x:v>
      </x:c>
      <x:c r="L1592" s="4">
        <x:v>694</x:v>
      </x:c>
      <x:c r="M1592" s="4">
        <x:v>458</x:v>
      </x:c>
      <x:c r="N1592" s="5">
        <x:v>0.6598999999999999</x:v>
      </x:c>
    </x:row>
    <x:row r="1593" ht="24" customHeight="1">
      <x:c r="A1593" s="1" t="inlineStr">
        <x:is>
          <x:t xml:space="preserve">RESULT</x:t>
        </x:is>
      </x:c>
      <x:c r="B1593" s="1" t="inlineStr">
        <x:is>
          <x:t xml:space="preserve">Round2</x:t>
        </x:is>
      </x:c>
      <x:c r="C1593" s="1" t="inlineStr">
        <x:is>
          <x:t xml:space="preserve">Math_55</x:t>
        </x:is>
      </x:c>
      <x:c r="D1593" s="1" t="inlineStr">
        <x:is>
          <x:t xml:space="preserve">NOT_REVEALING</x:t>
        </x:is>
      </x:c>
      <x:c r="E1593" s="5">
        <x:v>1.0</x:v>
      </x:c>
      <x:c r="F1593" s="4">
        <x:v>0</x:v>
      </x:c>
      <x:c r="G1593" s="4">
        <x:v>34317</x:v>
      </x:c>
      <x:c r="H1593" s="6">
        <x:v>144.05</x:v>
      </x:c>
      <x:c r="I1593" s="16">
        <x:v>1</x:v>
      </x:c>
      <x:c r="J1593">
        <x:v>116</x:v>
      </x:c>
      <x:c r="K1593" s="4">
        <x:v>116</x:v>
      </x:c>
      <x:c r="L1593" s="4">
        <x:v>48</x:v>
      </x:c>
      <x:c r="M1593" s="4">
        <x:v>40</x:v>
      </x:c>
      <x:c r="N1593" s="5">
        <x:v>0.8332999999999999</x:v>
      </x:c>
    </x:row>
    <x:row r="1594" ht="24" customHeight="1">
      <x:c r="A1594" s="1" t="inlineStr">
        <x:is>
          <x:t xml:space="preserve">RESULT</x:t>
        </x:is>
      </x:c>
      <x:c r="B1594" s="1" t="inlineStr">
        <x:is>
          <x:t xml:space="preserve">Round2</x:t>
        </x:is>
      </x:c>
      <x:c r="C1594" s="1" t="inlineStr">
        <x:is>
          <x:t xml:space="preserve">Math_56</x:t>
        </x:is>
      </x:c>
      <x:c r="D1594" s="1" t="inlineStr">
        <x:is>
          <x:t xml:space="preserve">INCONCLUSIVE</x:t>
        </x:is>
      </x:c>
      <x:c r="E1594" s="5">
        <x:v>0.9867</x:v>
      </x:c>
      <x:c r="F1594" s="4">
        <x:v>0</x:v>
      </x:c>
      <x:c r="G1594" s="4"/>
      <x:c r="H1594" s="6"/>
      <x:c r="I1594" s="16">
        <x:v>1</x:v>
      </x:c>
      <x:c r="J1594">
        <x:v>75</x:v>
      </x:c>
      <x:c r="K1594" s="4">
        <x:v>74</x:v>
      </x:c>
      <x:c r="L1594" s="4">
        <x:v>34</x:v>
      </x:c>
      <x:c r="M1594" s="4">
        <x:v>32</x:v>
      </x:c>
      <x:c r="N1594" s="5">
        <x:v>0.9412</x:v>
      </x:c>
    </x:row>
    <x:row r="1595" ht="24" customHeight="1">
      <x:c r="A1595" s="1" t="inlineStr">
        <x:is>
          <x:t xml:space="preserve">RESULT</x:t>
        </x:is>
      </x:c>
      <x:c r="B1595" s="1" t="inlineStr">
        <x:is>
          <x:t xml:space="preserve">Round2</x:t>
        </x:is>
      </x:c>
      <x:c r="C1595" s="1" t="inlineStr">
        <x:is>
          <x:t xml:space="preserve">Math_57</x:t>
        </x:is>
      </x:c>
      <x:c r="D1595" s="1" t="inlineStr">
        <x:is>
          <x:t xml:space="preserve">NOT_REVEALING</x:t>
        </x:is>
      </x:c>
      <x:c r="E1595" s="5">
        <x:v>0.975</x:v>
      </x:c>
      <x:c r="F1595" s="4">
        <x:v>0</x:v>
      </x:c>
      <x:c r="G1595" s="4">
        <x:v>42124</x:v>
      </x:c>
      <x:c r="H1595" s="6">
        <x:v>253.4</x:v>
      </x:c>
      <x:c r="I1595" s="16">
        <x:v>1</x:v>
      </x:c>
      <x:c r="J1595">
        <x:v>120</x:v>
      </x:c>
      <x:c r="K1595" s="4">
        <x:v>117</x:v>
      </x:c>
      <x:c r="L1595" s="4">
        <x:v>54</x:v>
      </x:c>
      <x:c r="M1595" s="4">
        <x:v>49</x:v>
      </x:c>
      <x:c r="N1595" s="5">
        <x:v>0.9074</x:v>
      </x:c>
    </x:row>
    <x:row r="1596" ht="24" customHeight="1">
      <x:c r="A1596" s="1" t="inlineStr">
        <x:is>
          <x:t xml:space="preserve">RESULT</x:t>
        </x:is>
      </x:c>
      <x:c r="B1596" s="1" t="inlineStr">
        <x:is>
          <x:t xml:space="preserve">Round2</x:t>
        </x:is>
      </x:c>
      <x:c r="C1596" s="1" t="inlineStr">
        <x:is>
          <x:t xml:space="preserve">Math_58</x:t>
        </x:is>
      </x:c>
      <x:c r="D1596" s="1" t="inlineStr">
        <x:is>
          <x:t xml:space="preserve">NOT_REVEALING</x:t>
        </x:is>
      </x:c>
      <x:c r="E1596" s="5">
        <x:v>0.6809000000000001</x:v>
      </x:c>
      <x:c r="F1596" s="4">
        <x:v>0</x:v>
      </x:c>
      <x:c r="G1596" s="4">
        <x:v>24919</x:v>
      </x:c>
      <x:c r="H1596" s="6">
        <x:v>110.84</x:v>
      </x:c>
      <x:c r="I1596" s="16">
        <x:v>1</x:v>
      </x:c>
      <x:c r="J1596">
        <x:v>94</x:v>
      </x:c>
      <x:c r="K1596" s="4">
        <x:v>64</x:v>
      </x:c>
      <x:c r="L1596" s="4">
        <x:v>58</x:v>
      </x:c>
      <x:c r="M1596" s="4">
        <x:v>36</x:v>
      </x:c>
      <x:c r="N1596" s="5">
        <x:v>0.6207</x:v>
      </x:c>
    </x:row>
    <x:row r="1597" ht="24" customHeight="1">
      <x:c r="A1597" s="1" t="inlineStr">
        <x:is>
          <x:t xml:space="preserve">RESULT</x:t>
        </x:is>
      </x:c>
      <x:c r="B1597" s="1" t="inlineStr">
        <x:is>
          <x:t xml:space="preserve">Round2</x:t>
        </x:is>
      </x:c>
      <x:c r="C1597" s="1" t="inlineStr">
        <x:is>
          <x:t xml:space="preserve">Math_59</x:t>
        </x:is>
      </x:c>
      <x:c r="D1597" s="1" t="inlineStr">
        <x:is>
          <x:t xml:space="preserve">INCONCLUSIVE</x:t>
        </x:is>
      </x:c>
      <x:c r="E1597" s="5">
        <x:v>0.7037</x:v>
      </x:c>
      <x:c r="F1597" s="4">
        <x:v>0</x:v>
      </x:c>
      <x:c r="G1597" s="4"/>
      <x:c r="H1597" s="6"/>
      <x:c r="I1597" s="16">
        <x:v>1</x:v>
      </x:c>
      <x:c r="J1597">
        <x:v>1549</x:v>
      </x:c>
      <x:c r="K1597" s="4">
        <x:v>1090</x:v>
      </x:c>
      <x:c r="L1597" s="4">
        <x:v>652</x:v>
      </x:c>
      <x:c r="M1597" s="4">
        <x:v>284</x:v>
      </x:c>
      <x:c r="N1597" s="5">
        <x:v>0.43560000000000004</x:v>
      </x:c>
    </x:row>
    <x:row r="1598" ht="24" customHeight="1">
      <x:c r="A1598" s="1" t="inlineStr">
        <x:is>
          <x:t xml:space="preserve">RESULT</x:t>
        </x:is>
      </x:c>
      <x:c r="B1598" s="1" t="inlineStr">
        <x:is>
          <x:t xml:space="preserve">Round2</x:t>
        </x:is>
      </x:c>
      <x:c r="C1598" s="1" t="inlineStr">
        <x:is>
          <x:t xml:space="preserve">Math_6</x:t>
        </x:is>
      </x:c>
      <x:c r="D1598" s="1" t="inlineStr">
        <x:is>
          <x:t xml:space="preserve">NOT_AVAILABLE</x:t>
        </x:is>
      </x:c>
      <x:c r="E1598" s="5"/>
      <x:c r="F1598" s="4">
        <x:v>0</x:v>
      </x:c>
      <x:c r="G1598" s="4">
        <x:v>190729</x:v>
      </x:c>
      <x:c r="H1598" s="6">
        <x:v>917.36</x:v>
      </x:c>
      <x:c r="I1598" s="16">
        <x:v>1</x:v>
      </x:c>
      <x:c r="J1598"/>
      <x:c r="K1598" s="4"/>
      <x:c r="L1598" s="4"/>
      <x:c r="M1598" s="4"/>
      <x:c r="N1598" s="5"/>
    </x:row>
    <x:row r="1599" ht="24" customHeight="1">
      <x:c r="A1599" s="1" t="inlineStr">
        <x:is>
          <x:t xml:space="preserve">RESULT</x:t>
        </x:is>
      </x:c>
      <x:c r="B1599" s="1" t="inlineStr">
        <x:is>
          <x:t xml:space="preserve">Round2</x:t>
        </x:is>
      </x:c>
      <x:c r="C1599" s="1" t="inlineStr">
        <x:is>
          <x:t xml:space="preserve">Math_60</x:t>
        </x:is>
      </x:c>
      <x:c r="D1599" s="1" t="inlineStr">
        <x:is>
          <x:t xml:space="preserve">NOT_REVEALING</x:t>
        </x:is>
      </x:c>
      <x:c r="E1599" s="5">
        <x:v>0.8723000000000001</x:v>
      </x:c>
      <x:c r="F1599" s="4">
        <x:v>0</x:v>
      </x:c>
      <x:c r="G1599" s="4"/>
      <x:c r="H1599" s="6"/>
      <x:c r="I1599" s="16">
        <x:v>1</x:v>
      </x:c>
      <x:c r="J1599">
        <x:v>47</x:v>
      </x:c>
      <x:c r="K1599" s="4">
        <x:v>41</x:v>
      </x:c>
      <x:c r="L1599" s="4">
        <x:v>18</x:v>
      </x:c>
      <x:c r="M1599" s="4">
        <x:v>14</x:v>
      </x:c>
      <x:c r="N1599" s="5">
        <x:v>0.7778</x:v>
      </x:c>
    </x:row>
    <x:row r="1600" ht="24" customHeight="1">
      <x:c r="A1600" s="1" t="inlineStr">
        <x:is>
          <x:t xml:space="preserve">RESULT</x:t>
        </x:is>
      </x:c>
      <x:c r="B1600" s="1" t="inlineStr">
        <x:is>
          <x:t xml:space="preserve">Round2</x:t>
        </x:is>
      </x:c>
      <x:c r="C1600" s="1" t="inlineStr">
        <x:is>
          <x:t xml:space="preserve">Math_61</x:t>
        </x:is>
      </x:c>
      <x:c r="D1600" s="1" t="inlineStr">
        <x:is>
          <x:t xml:space="preserve">NOT_REVEALING</x:t>
        </x:is>
      </x:c>
      <x:c r="E1600" s="5">
        <x:v>0.8234999999999999</x:v>
      </x:c>
      <x:c r="F1600" s="4">
        <x:v>0</x:v>
      </x:c>
      <x:c r="G1600" s="4"/>
      <x:c r="H1600" s="6"/>
      <x:c r="I1600" s="16">
        <x:v>1</x:v>
      </x:c>
      <x:c r="J1600">
        <x:v>34</x:v>
      </x:c>
      <x:c r="K1600" s="4">
        <x:v>28</x:v>
      </x:c>
      <x:c r="L1600" s="4">
        <x:v>12</x:v>
      </x:c>
      <x:c r="M1600" s="4">
        <x:v>12</x:v>
      </x:c>
      <x:c r="N1600" s="5">
        <x:v>1.0</x:v>
      </x:c>
    </x:row>
    <x:row r="1601" ht="24" customHeight="1">
      <x:c r="A1601" s="1" t="inlineStr">
        <x:is>
          <x:t xml:space="preserve">RESULT</x:t>
        </x:is>
      </x:c>
      <x:c r="B1601" s="1" t="inlineStr">
        <x:is>
          <x:t xml:space="preserve">Round2</x:t>
        </x:is>
      </x:c>
      <x:c r="C1601" s="1" t="inlineStr">
        <x:is>
          <x:t xml:space="preserve">Math_62</x:t>
        </x:is>
      </x:c>
      <x:c r="D1601" s="1" t="inlineStr">
        <x:is>
          <x:t xml:space="preserve">NOT_REVEALING</x:t>
        </x:is>
      </x:c>
      <x:c r="E1601" s="5">
        <x:v>0.9787</x:v>
      </x:c>
      <x:c r="F1601" s="4">
        <x:v>0</x:v>
      </x:c>
      <x:c r="G1601" s="4">
        <x:v>28453</x:v>
      </x:c>
      <x:c r="H1601" s="6">
        <x:v>149.93</x:v>
      </x:c>
      <x:c r="I1601" s="16">
        <x:v>1</x:v>
      </x:c>
      <x:c r="J1601">
        <x:v>47</x:v>
      </x:c>
      <x:c r="K1601" s="4">
        <x:v>46</x:v>
      </x:c>
      <x:c r="L1601" s="4">
        <x:v>18</x:v>
      </x:c>
      <x:c r="M1601" s="4">
        <x:v>17</x:v>
      </x:c>
      <x:c r="N1601" s="5">
        <x:v>0.9444</x:v>
      </x:c>
    </x:row>
    <x:row r="1602" ht="24" customHeight="1">
      <x:c r="A1602" s="1" t="inlineStr">
        <x:is>
          <x:t xml:space="preserve">RESULT</x:t>
        </x:is>
      </x:c>
      <x:c r="B1602" s="1" t="inlineStr">
        <x:is>
          <x:t xml:space="preserve">Round2</x:t>
        </x:is>
      </x:c>
      <x:c r="C1602" s="1" t="inlineStr">
        <x:is>
          <x:t xml:space="preserve">Math_63</x:t>
        </x:is>
      </x:c>
      <x:c r="D1602" s="1" t="inlineStr">
        <x:is>
          <x:t xml:space="preserve">INCONCLUSIVE</x:t>
        </x:is>
      </x:c>
      <x:c r="E1602" s="5">
        <x:v>0.6139</x:v>
      </x:c>
      <x:c r="F1602" s="4">
        <x:v>0</x:v>
      </x:c>
      <x:c r="G1602" s="4"/>
      <x:c r="H1602" s="6"/>
      <x:c r="I1602" s="16">
        <x:v>1</x:v>
      </x:c>
      <x:c r="J1602">
        <x:v>518</x:v>
      </x:c>
      <x:c r="K1602" s="4">
        <x:v>318</x:v>
      </x:c>
      <x:c r="L1602" s="4">
        <x:v>441</x:v>
      </x:c>
      <x:c r="M1602" s="4">
        <x:v>254</x:v>
      </x:c>
      <x:c r="N1602" s="5">
        <x:v>0.5760000000000001</x:v>
      </x:c>
    </x:row>
    <x:row r="1603" ht="24" customHeight="1">
      <x:c r="A1603" s="1" t="inlineStr">
        <x:is>
          <x:t xml:space="preserve">RESULT</x:t>
        </x:is>
      </x:c>
      <x:c r="B1603" s="1" t="inlineStr">
        <x:is>
          <x:t xml:space="preserve">Round2</x:t>
        </x:is>
      </x:c>
      <x:c r="C1603" s="1" t="inlineStr">
        <x:is>
          <x:t xml:space="preserve">Math_64</x:t>
        </x:is>
      </x:c>
      <x:c r="D1603" s="1" t="inlineStr">
        <x:is>
          <x:t xml:space="preserve">INCONCLUSIVE</x:t>
        </x:is>
      </x:c>
      <x:c r="E1603" s="5">
        <x:v>0.5731</x:v>
      </x:c>
      <x:c r="F1603" s="4">
        <x:v>0</x:v>
      </x:c>
      <x:c r="G1603" s="4">
        <x:v>30052</x:v>
      </x:c>
      <x:c r="H1603" s="6">
        <x:v>147.12</x:v>
      </x:c>
      <x:c r="I1603" s="16">
        <x:v>1</x:v>
      </x:c>
      <x:c r="J1603">
        <x:v>342</x:v>
      </x:c>
      <x:c r="K1603" s="4">
        <x:v>196</x:v>
      </x:c>
      <x:c r="L1603" s="4">
        <x:v>200</x:v>
      </x:c>
      <x:c r="M1603" s="4">
        <x:v>88</x:v>
      </x:c>
      <x:c r="N1603" s="5">
        <x:v>0.44</x:v>
      </x:c>
    </x:row>
    <x:row r="1604" ht="24" customHeight="1">
      <x:c r="A1604" s="1" t="inlineStr">
        <x:is>
          <x:t xml:space="preserve">RESULT</x:t>
        </x:is>
      </x:c>
      <x:c r="B1604" s="1" t="inlineStr">
        <x:is>
          <x:t xml:space="preserve">Round2</x:t>
        </x:is>
      </x:c>
      <x:c r="C1604" s="1" t="inlineStr">
        <x:is>
          <x:t xml:space="preserve">Math_65</x:t>
        </x:is>
      </x:c>
      <x:c r="D1604" s="1" t="inlineStr">
        <x:is>
          <x:t xml:space="preserve">NOT_AVAILABLE</x:t>
        </x:is>
      </x:c>
      <x:c r="E1604" s="5"/>
      <x:c r="F1604" s="4">
        <x:v>0</x:v>
      </x:c>
      <x:c r="G1604" s="4">
        <x:v>21820</x:v>
      </x:c>
      <x:c r="H1604" s="6">
        <x:v>99.9</x:v>
      </x:c>
      <x:c r="I1604" s="16">
        <x:v>1</x:v>
      </x:c>
      <x:c r="J1604"/>
      <x:c r="K1604" s="4"/>
      <x:c r="L1604" s="4"/>
      <x:c r="M1604" s="4"/>
      <x:c r="N1604" s="5"/>
    </x:row>
    <x:row r="1605" ht="24" customHeight="1">
      <x:c r="A1605" s="1" t="inlineStr">
        <x:is>
          <x:t xml:space="preserve">RESULT</x:t>
        </x:is>
      </x:c>
      <x:c r="B1605" s="1" t="inlineStr">
        <x:is>
          <x:t xml:space="preserve">Round2</x:t>
        </x:is>
      </x:c>
      <x:c r="C1605" s="1" t="inlineStr">
        <x:is>
          <x:t xml:space="preserve">Math_66</x:t>
        </x:is>
      </x:c>
      <x:c r="D1605" s="1" t="inlineStr">
        <x:is>
          <x:t xml:space="preserve">INCONCLUSIVE</x:t>
        </x:is>
      </x:c>
      <x:c r="E1605" s="5">
        <x:v>1.0</x:v>
      </x:c>
      <x:c r="F1605" s="4">
        <x:v>0</x:v>
      </x:c>
      <x:c r="G1605" s="4"/>
      <x:c r="H1605" s="6"/>
      <x:c r="I1605" s="16">
        <x:v>1</x:v>
      </x:c>
      <x:c r="J1605">
        <x:v>102</x:v>
      </x:c>
      <x:c r="K1605" s="4">
        <x:v>102</x:v>
      </x:c>
      <x:c r="L1605" s="4">
        <x:v>58</x:v>
      </x:c>
      <x:c r="M1605" s="4">
        <x:v>55</x:v>
      </x:c>
      <x:c r="N1605" s="5">
        <x:v>0.9483</x:v>
      </x:c>
    </x:row>
    <x:row r="1606" ht="24" customHeight="1">
      <x:c r="A1606" s="1" t="inlineStr">
        <x:is>
          <x:t xml:space="preserve">RESULT</x:t>
        </x:is>
      </x:c>
      <x:c r="B1606" s="1" t="inlineStr">
        <x:is>
          <x:t xml:space="preserve">Round2</x:t>
        </x:is>
      </x:c>
      <x:c r="C1606" s="1" t="inlineStr">
        <x:is>
          <x:t xml:space="preserve">Math_67</x:t>
        </x:is>
      </x:c>
      <x:c r="D1606" s="1" t="inlineStr">
        <x:is>
          <x:t xml:space="preserve">INCONCLUSIVE</x:t>
        </x:is>
      </x:c>
      <x:c r="E1606" s="5">
        <x:v>0.8172</x:v>
      </x:c>
      <x:c r="F1606" s="4">
        <x:v>0</x:v>
      </x:c>
      <x:c r="G1606" s="4"/>
      <x:c r="H1606" s="6"/>
      <x:c r="I1606" s="16">
        <x:v>1</x:v>
      </x:c>
      <x:c r="J1606">
        <x:v>93</x:v>
      </x:c>
      <x:c r="K1606" s="4">
        <x:v>76</x:v>
      </x:c>
      <x:c r="L1606" s="4">
        <x:v>34</x:v>
      </x:c>
      <x:c r="M1606" s="4">
        <x:v>29</x:v>
      </x:c>
      <x:c r="N1606" s="5">
        <x:v>0.8529000000000001</x:v>
      </x:c>
    </x:row>
    <x:row r="1607" ht="24" customHeight="1">
      <x:c r="A1607" s="1" t="inlineStr">
        <x:is>
          <x:t xml:space="preserve">RESULT</x:t>
        </x:is>
      </x:c>
      <x:c r="B1607" s="1" t="inlineStr">
        <x:is>
          <x:t xml:space="preserve">Round2</x:t>
        </x:is>
      </x:c>
      <x:c r="C1607" s="1" t="inlineStr">
        <x:is>
          <x:t xml:space="preserve">Math_68</x:t>
        </x:is>
      </x:c>
      <x:c r="D1607" s="1" t="inlineStr">
        <x:is>
          <x:t xml:space="preserve">NOT_REVEALING</x:t>
        </x:is>
      </x:c>
      <x:c r="E1607" s="5">
        <x:v>0.5633</x:v>
      </x:c>
      <x:c r="F1607" s="4">
        <x:v>0</x:v>
      </x:c>
      <x:c r="G1607" s="4">
        <x:v>18400</x:v>
      </x:c>
      <x:c r="H1607" s="6">
        <x:v>75.27</x:v>
      </x:c>
      <x:c r="I1607" s="16">
        <x:v>1</x:v>
      </x:c>
      <x:c r="J1607">
        <x:v>332</x:v>
      </x:c>
      <x:c r="K1607" s="4">
        <x:v>187</x:v>
      </x:c>
      <x:c r="L1607" s="4">
        <x:v>196</x:v>
      </x:c>
      <x:c r="M1607" s="4">
        <x:v>84</x:v>
      </x:c>
      <x:c r="N1607" s="5">
        <x:v>0.4286</x:v>
      </x:c>
    </x:row>
    <x:row r="1608" ht="24" customHeight="1">
      <x:c r="A1608" s="1" t="inlineStr">
        <x:is>
          <x:t xml:space="preserve">RESULT</x:t>
        </x:is>
      </x:c>
      <x:c r="B1608" s="1" t="inlineStr">
        <x:is>
          <x:t xml:space="preserve">Round2</x:t>
        </x:is>
      </x:c>
      <x:c r="C1608" s="1" t="inlineStr">
        <x:is>
          <x:t xml:space="preserve">Math_69</x:t>
        </x:is>
      </x:c>
      <x:c r="D1608" s="1" t="inlineStr">
        <x:is>
          <x:t xml:space="preserve">NOT_REVEALING</x:t>
        </x:is>
      </x:c>
      <x:c r="E1608" s="5">
        <x:v>0.92</x:v>
      </x:c>
      <x:c r="F1608" s="4">
        <x:v>0</x:v>
      </x:c>
      <x:c r="G1608" s="4"/>
      <x:c r="H1608" s="6"/>
      <x:c r="I1608" s="16">
        <x:v>1</x:v>
      </x:c>
      <x:c r="J1608">
        <x:v>75</x:v>
      </x:c>
      <x:c r="K1608" s="4">
        <x:v>69</x:v>
      </x:c>
      <x:c r="L1608" s="4">
        <x:v>30</x:v>
      </x:c>
      <x:c r="M1608" s="4">
        <x:v>29</x:v>
      </x:c>
      <x:c r="N1608" s="5">
        <x:v>0.9667</x:v>
      </x:c>
    </x:row>
    <x:row r="1609" ht="24" customHeight="1">
      <x:c r="A1609" s="1" t="inlineStr">
        <x:is>
          <x:t xml:space="preserve">RESULT</x:t>
        </x:is>
      </x:c>
      <x:c r="B1609" s="1" t="inlineStr">
        <x:is>
          <x:t xml:space="preserve">Round2</x:t>
        </x:is>
      </x:c>
      <x:c r="C1609" s="1" t="inlineStr">
        <x:is>
          <x:t xml:space="preserve">Math_7</x:t>
        </x:is>
      </x:c>
      <x:c r="D1609" s="1" t="inlineStr">
        <x:is>
          <x:t xml:space="preserve">NOT_REVEALING</x:t>
        </x:is>
      </x:c>
      <x:c r="E1609" s="5">
        <x:v>0.5307999999999999</x:v>
      </x:c>
      <x:c r="F1609" s="4">
        <x:v>0</x:v>
      </x:c>
      <x:c r="G1609" s="4">
        <x:v>27209</x:v>
      </x:c>
      <x:c r="H1609" s="6">
        <x:v>115.31</x:v>
      </x:c>
      <x:c r="I1609" s="16">
        <x:v>1</x:v>
      </x:c>
      <x:c r="J1609">
        <x:v>130</x:v>
      </x:c>
      <x:c r="K1609" s="4">
        <x:v>69</x:v>
      </x:c>
      <x:c r="L1609" s="4">
        <x:v>50</x:v>
      </x:c>
      <x:c r="M1609" s="4">
        <x:v>14</x:v>
      </x:c>
      <x:c r="N1609" s="5">
        <x:v>0.28</x:v>
      </x:c>
    </x:row>
    <x:row r="1610" ht="24" customHeight="1">
      <x:c r="A1610" s="1" t="inlineStr">
        <x:is>
          <x:t xml:space="preserve">RESULT</x:t>
        </x:is>
      </x:c>
      <x:c r="B1610" s="1" t="inlineStr">
        <x:is>
          <x:t xml:space="preserve">Round2</x:t>
        </x:is>
      </x:c>
      <x:c r="C1610" s="1" t="inlineStr">
        <x:is>
          <x:t xml:space="preserve">Math_70</x:t>
        </x:is>
      </x:c>
      <x:c r="D1610" s="1" t="inlineStr">
        <x:is>
          <x:t xml:space="preserve">INCONCLUSIVE</x:t>
        </x:is>
      </x:c>
      <x:c r="E1610" s="5">
        <x:v>0.7826000000000001</x:v>
      </x:c>
      <x:c r="F1610" s="4">
        <x:v>0</x:v>
      </x:c>
      <x:c r="G1610" s="4"/>
      <x:c r="H1610" s="6"/>
      <x:c r="I1610" s="16">
        <x:v>1</x:v>
      </x:c>
      <x:c r="J1610">
        <x:v>23</x:v>
      </x:c>
      <x:c r="K1610" s="4">
        <x:v>18</x:v>
      </x:c>
      <x:c r="L1610" s="4">
        <x:v>6</x:v>
      </x:c>
      <x:c r="M1610" s="4">
        <x:v>6</x:v>
      </x:c>
      <x:c r="N1610" s="5">
        <x:v>1.0</x:v>
      </x:c>
    </x:row>
    <x:row r="1611" ht="24" customHeight="1">
      <x:c r="A1611" s="1" t="inlineStr">
        <x:is>
          <x:t xml:space="preserve">RESULT</x:t>
        </x:is>
      </x:c>
      <x:c r="B1611" s="1" t="inlineStr">
        <x:is>
          <x:t xml:space="preserve">Round2</x:t>
        </x:is>
      </x:c>
      <x:c r="C1611" s="1" t="inlineStr">
        <x:is>
          <x:t xml:space="preserve">Math_71</x:t>
        </x:is>
      </x:c>
      <x:c r="D1611" s="1" t="inlineStr">
        <x:is>
          <x:t xml:space="preserve">INCONCLUSIVE</x:t>
        </x:is>
      </x:c>
      <x:c r="E1611" s="5">
        <x:v>0.9036</x:v>
      </x:c>
      <x:c r="F1611" s="4">
        <x:v>0</x:v>
      </x:c>
      <x:c r="G1611" s="4">
        <x:v>86223</x:v>
      </x:c>
      <x:c r="H1611" s="6">
        <x:v>474.0</x:v>
      </x:c>
      <x:c r="I1611" s="16">
        <x:v>1</x:v>
      </x:c>
      <x:c r="J1611">
        <x:v>197</x:v>
      </x:c>
      <x:c r="K1611" s="4">
        <x:v>178</x:v>
      </x:c>
      <x:c r="L1611" s="4">
        <x:v>98</x:v>
      </x:c>
      <x:c r="M1611" s="4">
        <x:v>79</x:v>
      </x:c>
      <x:c r="N1611" s="5">
        <x:v>0.8061</x:v>
      </x:c>
    </x:row>
    <x:row r="1612" ht="24" customHeight="1">
      <x:c r="A1612" s="1" t="inlineStr">
        <x:is>
          <x:t xml:space="preserve">RESULT</x:t>
        </x:is>
      </x:c>
      <x:c r="B1612" s="1" t="inlineStr">
        <x:is>
          <x:t xml:space="preserve">Round2</x:t>
        </x:is>
      </x:c>
      <x:c r="C1612" s="1" t="inlineStr">
        <x:is>
          <x:t xml:space="preserve">Math_72</x:t>
        </x:is>
      </x:c>
      <x:c r="D1612" s="1" t="inlineStr">
        <x:is>
          <x:t xml:space="preserve">INCONCLUSIVE</x:t>
        </x:is>
      </x:c>
      <x:c r="E1612" s="5">
        <x:v>0.8598</x:v>
      </x:c>
      <x:c r="F1612" s="4">
        <x:v>0</x:v>
      </x:c>
      <x:c r="G1612" s="4"/>
      <x:c r="H1612" s="6"/>
      <x:c r="I1612" s="16">
        <x:v>1</x:v>
      </x:c>
      <x:c r="J1612">
        <x:v>107</x:v>
      </x:c>
      <x:c r="K1612" s="4">
        <x:v>92</x:v>
      </x:c>
      <x:c r="L1612" s="4">
        <x:v>54</x:v>
      </x:c>
      <x:c r="M1612" s="4">
        <x:v>44</x:v>
      </x:c>
      <x:c r="N1612" s="5">
        <x:v>0.8148000000000001</x:v>
      </x:c>
    </x:row>
    <x:row r="1613" ht="24" customHeight="1">
      <x:c r="A1613" s="1" t="inlineStr">
        <x:is>
          <x:t xml:space="preserve">RESULT</x:t>
        </x:is>
      </x:c>
      <x:c r="B1613" s="1" t="inlineStr">
        <x:is>
          <x:t xml:space="preserve">Round2</x:t>
        </x:is>
      </x:c>
      <x:c r="C1613" s="1" t="inlineStr">
        <x:is>
          <x:t xml:space="preserve">Math_73</x:t>
        </x:is>
      </x:c>
      <x:c r="D1613" s="1" t="inlineStr">
        <x:is>
          <x:t xml:space="preserve">NOT_REVEALING</x:t>
        </x:is>
      </x:c>
      <x:c r="E1613" s="5">
        <x:v>0.8462000000000001</x:v>
      </x:c>
      <x:c r="F1613" s="4">
        <x:v>0</x:v>
      </x:c>
      <x:c r="G1613" s="4"/>
      <x:c r="H1613" s="6"/>
      <x:c r="I1613" s="16">
        <x:v>1</x:v>
      </x:c>
      <x:c r="J1613">
        <x:v>104</x:v>
      </x:c>
      <x:c r="K1613" s="4">
        <x:v>88</x:v>
      </x:c>
      <x:c r="L1613" s="4">
        <x:v>52</x:v>
      </x:c>
      <x:c r="M1613" s="4">
        <x:v>42</x:v>
      </x:c>
      <x:c r="N1613" s="5">
        <x:v>0.8077</x:v>
      </x:c>
    </x:row>
    <x:row r="1614" ht="24" customHeight="1">
      <x:c r="A1614" s="1" t="inlineStr">
        <x:is>
          <x:t xml:space="preserve">RESULT</x:t>
        </x:is>
      </x:c>
      <x:c r="B1614" s="1" t="inlineStr">
        <x:is>
          <x:t xml:space="preserve">Round2</x:t>
        </x:is>
      </x:c>
      <x:c r="C1614" s="1" t="inlineStr">
        <x:is>
          <x:t xml:space="preserve">Math_74</x:t>
        </x:is>
      </x:c>
      <x:c r="D1614" s="1" t="inlineStr">
        <x:is>
          <x:t xml:space="preserve">NOT_REVEALING</x:t>
        </x:is>
      </x:c>
      <x:c r="E1614" s="5">
        <x:v>0.9179999999999999</x:v>
      </x:c>
      <x:c r="F1614" s="4">
        <x:v>0</x:v>
      </x:c>
      <x:c r="G1614" s="4">
        <x:v>43319</x:v>
      </x:c>
      <x:c r="H1614" s="6">
        <x:v>230.83</x:v>
      </x:c>
      <x:c r="I1614" s="16">
        <x:v>1</x:v>
      </x:c>
      <x:c r="J1614">
        <x:v>122</x:v>
      </x:c>
      <x:c r="K1614" s="4">
        <x:v>112</x:v>
      </x:c>
      <x:c r="L1614" s="4">
        <x:v>54</x:v>
      </x:c>
      <x:c r="M1614" s="4">
        <x:v>46</x:v>
      </x:c>
      <x:c r="N1614" s="5">
        <x:v>0.8519</x:v>
      </x:c>
    </x:row>
    <x:row r="1615" ht="24" customHeight="1">
      <x:c r="A1615" s="1" t="inlineStr">
        <x:is>
          <x:t xml:space="preserve">RESULT</x:t>
        </x:is>
      </x:c>
      <x:c r="B1615" s="1" t="inlineStr">
        <x:is>
          <x:t xml:space="preserve">Round2</x:t>
        </x:is>
      </x:c>
      <x:c r="C1615" s="1" t="inlineStr">
        <x:is>
          <x:t xml:space="preserve">Math_75</x:t>
        </x:is>
      </x:c>
      <x:c r="D1615" s="1" t="inlineStr">
        <x:is>
          <x:t xml:space="preserve">INCONCLUSIVE</x:t>
        </x:is>
      </x:c>
      <x:c r="E1615" s="5">
        <x:v>0.8506999999999999</x:v>
      </x:c>
      <x:c r="F1615" s="4">
        <x:v>0</x:v>
      </x:c>
      <x:c r="G1615" s="4"/>
      <x:c r="H1615" s="6"/>
      <x:c r="I1615" s="16">
        <x:v>1</x:v>
      </x:c>
      <x:c r="J1615">
        <x:v>134</x:v>
      </x:c>
      <x:c r="K1615" s="4">
        <x:v>114</x:v>
      </x:c>
      <x:c r="L1615" s="4">
        <x:v>48</x:v>
      </x:c>
      <x:c r="M1615" s="4">
        <x:v>37</x:v>
      </x:c>
      <x:c r="N1615" s="5">
        <x:v>0.7707999999999999</x:v>
      </x:c>
    </x:row>
    <x:row r="1616" ht="24" customHeight="1">
      <x:c r="A1616" s="1" t="inlineStr">
        <x:is>
          <x:t xml:space="preserve">RESULT</x:t>
        </x:is>
      </x:c>
      <x:c r="B1616" s="1" t="inlineStr">
        <x:is>
          <x:t xml:space="preserve">Round2</x:t>
        </x:is>
      </x:c>
      <x:c r="C1616" s="1" t="inlineStr">
        <x:is>
          <x:t xml:space="preserve">Math_76</x:t>
        </x:is>
      </x:c>
      <x:c r="D1616" s="1" t="inlineStr">
        <x:is>
          <x:t xml:space="preserve">INCONCLUSIVE</x:t>
        </x:is>
      </x:c>
      <x:c r="E1616" s="5">
        <x:v>0.7985</x:v>
      </x:c>
      <x:c r="F1616" s="4">
        <x:v>0</x:v>
      </x:c>
      <x:c r="G1616" s="4"/>
      <x:c r="H1616" s="6"/>
      <x:c r="I1616" s="16">
        <x:v>1</x:v>
      </x:c>
      <x:c r="J1616">
        <x:v>134</x:v>
      </x:c>
      <x:c r="K1616" s="4">
        <x:v>107</x:v>
      </x:c>
      <x:c r="L1616" s="4">
        <x:v>54</x:v>
      </x:c>
      <x:c r="M1616" s="4">
        <x:v>36</x:v>
      </x:c>
      <x:c r="N1616" s="5">
        <x:v>0.6667000000000001</x:v>
      </x:c>
    </x:row>
    <x:row r="1617" ht="24" customHeight="1">
      <x:c r="A1617" s="1" t="inlineStr">
        <x:is>
          <x:t xml:space="preserve">RESULT</x:t>
        </x:is>
      </x:c>
      <x:c r="B1617" s="1" t="inlineStr">
        <x:is>
          <x:t xml:space="preserve">Round2</x:t>
        </x:is>
      </x:c>
      <x:c r="C1617" s="1" t="inlineStr">
        <x:is>
          <x:t xml:space="preserve">Math_77</x:t>
        </x:is>
      </x:c>
      <x:c r="D1617" s="1" t="inlineStr">
        <x:is>
          <x:t xml:space="preserve">REVEALING</x:t>
        </x:is>
      </x:c>
      <x:c r="E1617" s="5">
        <x:v>0.7309</x:v>
      </x:c>
      <x:c r="F1617" s="4">
        <x:v>1</x:v>
      </x:c>
      <x:c r="G1617" s="4">
        <x:v>72520</x:v>
      </x:c>
      <x:c r="H1617" s="6">
        <x:v>2519.37</x:v>
      </x:c>
      <x:c r="I1617" s="16">
        <x:v>1</x:v>
      </x:c>
      <x:c r="J1617">
        <x:v>799</x:v>
      </x:c>
      <x:c r="K1617" s="4">
        <x:v>584</x:v>
      </x:c>
      <x:c r="L1617" s="4">
        <x:v>338</x:v>
      </x:c>
      <x:c r="M1617" s="4">
        <x:v>233</x:v>
      </x:c>
      <x:c r="N1617" s="5">
        <x:v>0.6893</x:v>
      </x:c>
    </x:row>
    <x:row r="1618" ht="24" customHeight="1">
      <x:c r="A1618" s="1" t="inlineStr">
        <x:is>
          <x:t xml:space="preserve">RESULT</x:t>
        </x:is>
      </x:c>
      <x:c r="B1618" s="1" t="inlineStr">
        <x:is>
          <x:t xml:space="preserve">Round2</x:t>
        </x:is>
      </x:c>
      <x:c r="C1618" s="1" t="inlineStr">
        <x:is>
          <x:t xml:space="preserve">Math_78</x:t>
        </x:is>
      </x:c>
      <x:c r="D1618" s="1" t="inlineStr">
        <x:is>
          <x:t xml:space="preserve">NOT_AVAILABLE</x:t>
        </x:is>
      </x:c>
      <x:c r="E1618" s="5"/>
      <x:c r="F1618" s="4">
        <x:v>0</x:v>
      </x:c>
      <x:c r="G1618" s="4">
        <x:v>53116</x:v>
      </x:c>
      <x:c r="H1618" s="6">
        <x:v>289.03</x:v>
      </x:c>
      <x:c r="I1618" s="16">
        <x:v>1</x:v>
      </x:c>
      <x:c r="J1618"/>
      <x:c r="K1618" s="4"/>
      <x:c r="L1618" s="4"/>
      <x:c r="M1618" s="4"/>
      <x:c r="N1618" s="5"/>
    </x:row>
    <x:row r="1619" ht="24" customHeight="1">
      <x:c r="A1619" s="1" t="inlineStr">
        <x:is>
          <x:t xml:space="preserve">RESULT</x:t>
        </x:is>
      </x:c>
      <x:c r="B1619" s="1" t="inlineStr">
        <x:is>
          <x:t xml:space="preserve">Round2</x:t>
        </x:is>
      </x:c>
      <x:c r="C1619" s="1" t="inlineStr">
        <x:is>
          <x:t xml:space="preserve">Math_79</x:t>
        </x:is>
      </x:c>
      <x:c r="D1619" s="1" t="inlineStr">
        <x:is>
          <x:t xml:space="preserve">INCONCLUSIVE</x:t>
        </x:is>
      </x:c>
      <x:c r="E1619" s="5">
        <x:v>0.6333</x:v>
      </x:c>
      <x:c r="F1619" s="4">
        <x:v>0</x:v>
      </x:c>
      <x:c r="G1619" s="4"/>
      <x:c r="H1619" s="6"/>
      <x:c r="I1619" s="16">
        <x:v>1</x:v>
      </x:c>
      <x:c r="J1619">
        <x:v>420</x:v>
      </x:c>
      <x:c r="K1619" s="4">
        <x:v>266</x:v>
      </x:c>
      <x:c r="L1619" s="4">
        <x:v>345</x:v>
      </x:c>
      <x:c r="M1619" s="4">
        <x:v>216</x:v>
      </x:c>
      <x:c r="N1619" s="5">
        <x:v>0.6261</x:v>
      </x:c>
    </x:row>
    <x:row r="1620" ht="24" customHeight="1">
      <x:c r="A1620" s="1" t="inlineStr">
        <x:is>
          <x:t xml:space="preserve">RESULT</x:t>
        </x:is>
      </x:c>
      <x:c r="B1620" s="1" t="inlineStr">
        <x:is>
          <x:t xml:space="preserve">Round2</x:t>
        </x:is>
      </x:c>
      <x:c r="C1620" s="1" t="inlineStr">
        <x:is>
          <x:t xml:space="preserve">Math_8</x:t>
        </x:is>
      </x:c>
      <x:c r="D1620" s="1" t="inlineStr">
        <x:is>
          <x:t xml:space="preserve">NOT_AVAILABLE</x:t>
        </x:is>
      </x:c>
      <x:c r="E1620" s="5">
        <x:v>1.0</x:v>
      </x:c>
      <x:c r="F1620" s="4">
        <x:v>0</x:v>
      </x:c>
      <x:c r="G1620" s="4">
        <x:v>22891</x:v>
      </x:c>
      <x:c r="H1620" s="6">
        <x:v>847.47</x:v>
      </x:c>
      <x:c r="I1620" s="16">
        <x:v>1</x:v>
      </x:c>
      <x:c r="J1620">
        <x:v>40</x:v>
      </x:c>
      <x:c r="K1620" s="4">
        <x:v>40</x:v>
      </x:c>
      <x:c r="L1620" s="4">
        <x:v>24</x:v>
      </x:c>
      <x:c r="M1620" s="4">
        <x:v>24</x:v>
      </x:c>
      <x:c r="N1620" s="5">
        <x:v>1.0</x:v>
      </x:c>
    </x:row>
    <x:row r="1621" ht="24" customHeight="1">
      <x:c r="A1621" s="1" t="inlineStr">
        <x:is>
          <x:t xml:space="preserve">RESULT</x:t>
        </x:is>
      </x:c>
      <x:c r="B1621" s="1" t="inlineStr">
        <x:is>
          <x:t xml:space="preserve">Round2</x:t>
        </x:is>
      </x:c>
      <x:c r="C1621" s="1" t="inlineStr">
        <x:is>
          <x:t xml:space="preserve">Math_80</x:t>
        </x:is>
      </x:c>
      <x:c r="D1621" s="1" t="inlineStr">
        <x:is>
          <x:t xml:space="preserve">INCONCLUSIVE</x:t>
        </x:is>
      </x:c>
      <x:c r="E1621" s="5">
        <x:v>0.33020000000000005</x:v>
      </x:c>
      <x:c r="F1621" s="4">
        <x:v>0</x:v>
      </x:c>
      <x:c r="G1621" s="4"/>
      <x:c r="H1621" s="6"/>
      <x:c r="I1621" s="16">
        <x:v>1</x:v>
      </x:c>
      <x:c r="J1621">
        <x:v>854</x:v>
      </x:c>
      <x:c r="K1621" s="4">
        <x:v>282</x:v>
      </x:c>
      <x:c r="L1621" s="4">
        <x:v>414</x:v>
      </x:c>
      <x:c r="M1621" s="4">
        <x:v>80</x:v>
      </x:c>
      <x:c r="N1621" s="5">
        <x:v>0.1932</x:v>
      </x:c>
    </x:row>
    <x:row r="1622" ht="24" customHeight="1">
      <x:c r="A1622" s="1" t="inlineStr">
        <x:is>
          <x:t xml:space="preserve">RESULT</x:t>
        </x:is>
      </x:c>
      <x:c r="B1622" s="1" t="inlineStr">
        <x:is>
          <x:t xml:space="preserve">Round2</x:t>
        </x:is>
      </x:c>
      <x:c r="C1622" s="1" t="inlineStr">
        <x:is>
          <x:t xml:space="preserve">Math_81</x:t>
        </x:is>
      </x:c>
      <x:c r="D1622" s="1" t="inlineStr">
        <x:is>
          <x:t xml:space="preserve">NOT_REVEALING</x:t>
        </x:is>
      </x:c>
      <x:c r="E1622" s="5">
        <x:v>0.3353</x:v>
      </x:c>
      <x:c r="F1622" s="4">
        <x:v>0</x:v>
      </x:c>
      <x:c r="G1622" s="4"/>
      <x:c r="H1622" s="6"/>
      <x:c r="I1622" s="16">
        <x:v>1</x:v>
      </x:c>
      <x:c r="J1622">
        <x:v>853</x:v>
      </x:c>
      <x:c r="K1622" s="4">
        <x:v>286</x:v>
      </x:c>
      <x:c r="L1622" s="4">
        <x:v>414</x:v>
      </x:c>
      <x:c r="M1622" s="4">
        <x:v>84</x:v>
      </x:c>
      <x:c r="N1622" s="5">
        <x:v>0.2029</x:v>
      </x:c>
    </x:row>
    <x:row r="1623" ht="24" customHeight="1">
      <x:c r="A1623" s="1" t="inlineStr">
        <x:is>
          <x:t xml:space="preserve">RESULT</x:t>
        </x:is>
      </x:c>
      <x:c r="B1623" s="1" t="inlineStr">
        <x:is>
          <x:t xml:space="preserve">Round2</x:t>
        </x:is>
      </x:c>
      <x:c r="C1623" s="1" t="inlineStr">
        <x:is>
          <x:t xml:space="preserve">Math_82</x:t>
        </x:is>
      </x:c>
      <x:c r="D1623" s="1" t="inlineStr">
        <x:is>
          <x:t xml:space="preserve">NOT_REVEALING</x:t>
        </x:is>
      </x:c>
      <x:c r="E1623" s="5">
        <x:v>0.9667</x:v>
      </x:c>
      <x:c r="F1623" s="4">
        <x:v>0</x:v>
      </x:c>
      <x:c r="G1623" s="4">
        <x:v>23798</x:v>
      </x:c>
      <x:c r="H1623" s="6">
        <x:v>129.59</x:v>
      </x:c>
      <x:c r="I1623" s="16">
        <x:v>1</x:v>
      </x:c>
      <x:c r="J1623">
        <x:v>60</x:v>
      </x:c>
      <x:c r="K1623" s="4">
        <x:v>58</x:v>
      </x:c>
      <x:c r="L1623" s="4">
        <x:v>36</x:v>
      </x:c>
      <x:c r="M1623" s="4">
        <x:v>33</x:v>
      </x:c>
      <x:c r="N1623" s="5">
        <x:v>0.9167000000000001</x:v>
      </x:c>
    </x:row>
    <x:row r="1624" ht="24" customHeight="1">
      <x:c r="A1624" s="1" t="inlineStr">
        <x:is>
          <x:t xml:space="preserve">RESULT</x:t>
        </x:is>
      </x:c>
      <x:c r="B1624" s="1" t="inlineStr">
        <x:is>
          <x:t xml:space="preserve">Round2</x:t>
        </x:is>
      </x:c>
      <x:c r="C1624" s="1" t="inlineStr">
        <x:is>
          <x:t xml:space="preserve">Math_83</x:t>
        </x:is>
      </x:c>
      <x:c r="D1624" s="1" t="inlineStr">
        <x:is>
          <x:t xml:space="preserve">INCONCLUSIVE</x:t>
        </x:is>
      </x:c>
      <x:c r="E1624" s="5">
        <x:v>0.071</x:v>
      </x:c>
      <x:c r="F1624" s="4">
        <x:v>0</x:v>
      </x:c>
      <x:c r="G1624" s="4">
        <x:v>38166</x:v>
      </x:c>
      <x:c r="H1624" s="6">
        <x:v>191.5</x:v>
      </x:c>
      <x:c r="I1624" s="16">
        <x:v>1</x:v>
      </x:c>
      <x:c r="J1624">
        <x:v>155</x:v>
      </x:c>
      <x:c r="K1624" s="4">
        <x:v>11</x:v>
      </x:c>
      <x:c r="L1624" s="4">
        <x:v>92</x:v>
      </x:c>
      <x:c r="M1624" s="4">
        <x:v>7</x:v>
      </x:c>
      <x:c r="N1624" s="5">
        <x:v>0.0761</x:v>
      </x:c>
    </x:row>
    <x:row r="1625" ht="24" customHeight="1">
      <x:c r="A1625" s="1" t="inlineStr">
        <x:is>
          <x:t xml:space="preserve">RESULT</x:t>
        </x:is>
      </x:c>
      <x:c r="B1625" s="1" t="inlineStr">
        <x:is>
          <x:t xml:space="preserve">Round2</x:t>
        </x:is>
      </x:c>
      <x:c r="C1625" s="1" t="inlineStr">
        <x:is>
          <x:t xml:space="preserve">Math_84</x:t>
        </x:is>
      </x:c>
      <x:c r="D1625" s="1" t="inlineStr">
        <x:is>
          <x:t xml:space="preserve">NOT_AVAILABLE</x:t>
        </x:is>
      </x:c>
      <x:c r="E1625" s="5"/>
      <x:c r="F1625" s="4">
        <x:v>0</x:v>
      </x:c>
      <x:c r="G1625" s="4">
        <x:v>25283</x:v>
      </x:c>
      <x:c r="H1625" s="6">
        <x:v>135.24</x:v>
      </x:c>
      <x:c r="I1625" s="16">
        <x:v>1</x:v>
      </x:c>
      <x:c r="J1625"/>
      <x:c r="K1625" s="4"/>
      <x:c r="L1625" s="4"/>
      <x:c r="M1625" s="4"/>
      <x:c r="N1625" s="5"/>
    </x:row>
    <x:row r="1626" ht="24" customHeight="1">
      <x:c r="A1626" s="1" t="inlineStr">
        <x:is>
          <x:t xml:space="preserve">RESULT</x:t>
        </x:is>
      </x:c>
      <x:c r="B1626" s="1" t="inlineStr">
        <x:is>
          <x:t xml:space="preserve">Round2</x:t>
        </x:is>
      </x:c>
      <x:c r="C1626" s="1" t="inlineStr">
        <x:is>
          <x:t xml:space="preserve">Math_85</x:t>
        </x:is>
      </x:c>
      <x:c r="D1626" s="1" t="inlineStr">
        <x:is>
          <x:t xml:space="preserve">REVEALING</x:t>
        </x:is>
      </x:c>
      <x:c r="E1626" s="5">
        <x:v>0.9211</x:v>
      </x:c>
      <x:c r="F1626" s="4">
        <x:v>1</x:v>
      </x:c>
      <x:c r="G1626" s="4"/>
      <x:c r="H1626" s="6"/>
      <x:c r="I1626" s="16">
        <x:v>1</x:v>
      </x:c>
      <x:c r="J1626">
        <x:v>38</x:v>
      </x:c>
      <x:c r="K1626" s="4">
        <x:v>35</x:v>
      </x:c>
      <x:c r="L1626" s="4">
        <x:v>22</x:v>
      </x:c>
      <x:c r="M1626" s="4">
        <x:v>19</x:v>
      </x:c>
      <x:c r="N1626" s="5">
        <x:v>0.8636</x:v>
      </x:c>
    </x:row>
    <x:row r="1627" ht="24" customHeight="1">
      <x:c r="A1627" s="1" t="inlineStr">
        <x:is>
          <x:t xml:space="preserve">RESULT</x:t>
        </x:is>
      </x:c>
      <x:c r="B1627" s="1" t="inlineStr">
        <x:is>
          <x:t xml:space="preserve">Round2</x:t>
        </x:is>
      </x:c>
      <x:c r="C1627" s="1" t="inlineStr">
        <x:is>
          <x:t xml:space="preserve">Math_86</x:t>
        </x:is>
      </x:c>
      <x:c r="D1627" s="1" t="inlineStr">
        <x:is>
          <x:t xml:space="preserve">REVEALING</x:t>
        </x:is>
      </x:c>
      <x:c r="E1627" s="5">
        <x:v>0.8448</x:v>
      </x:c>
      <x:c r="F1627" s="4">
        <x:v>1</x:v>
      </x:c>
      <x:c r="G1627" s="4">
        <x:v>35471</x:v>
      </x:c>
      <x:c r="H1627" s="6">
        <x:v>183.12</x:v>
      </x:c>
      <x:c r="I1627" s="16">
        <x:v>1</x:v>
      </x:c>
      <x:c r="J1627">
        <x:v>116</x:v>
      </x:c>
      <x:c r="K1627" s="4">
        <x:v>98</x:v>
      </x:c>
      <x:c r="L1627" s="4">
        <x:v>60</x:v>
      </x:c>
      <x:c r="M1627" s="4">
        <x:v>50</x:v>
      </x:c>
      <x:c r="N1627" s="5">
        <x:v>0.8332999999999999</x:v>
      </x:c>
    </x:row>
    <x:row r="1628" ht="24" customHeight="1">
      <x:c r="A1628" s="1" t="inlineStr">
        <x:is>
          <x:t xml:space="preserve">RESULT</x:t>
        </x:is>
      </x:c>
      <x:c r="B1628" s="1" t="inlineStr">
        <x:is>
          <x:t xml:space="preserve">Round2</x:t>
        </x:is>
      </x:c>
      <x:c r="C1628" s="1" t="inlineStr">
        <x:is>
          <x:t xml:space="preserve">Math_87</x:t>
        </x:is>
      </x:c>
      <x:c r="D1628" s="1" t="inlineStr">
        <x:is>
          <x:t xml:space="preserve">NOT_REVEALING</x:t>
        </x:is>
      </x:c>
      <x:c r="E1628" s="5">
        <x:v>0.0724</x:v>
      </x:c>
      <x:c r="F1628" s="4">
        <x:v>0</x:v>
      </x:c>
      <x:c r="G1628" s="4"/>
      <x:c r="H1628" s="6"/>
      <x:c r="I1628" s="16">
        <x:v>1</x:v>
      </x:c>
      <x:c r="J1628">
        <x:v>152</x:v>
      </x:c>
      <x:c r="K1628" s="4">
        <x:v>11</x:v>
      </x:c>
      <x:c r="L1628" s="4">
        <x:v>90</x:v>
      </x:c>
      <x:c r="M1628" s="4">
        <x:v>7</x:v>
      </x:c>
      <x:c r="N1628" s="5">
        <x:v>0.07780000000000001</x:v>
      </x:c>
    </x:row>
    <x:row r="1629" ht="24" customHeight="1">
      <x:c r="A1629" s="1" t="inlineStr">
        <x:is>
          <x:t xml:space="preserve">RESULT</x:t>
        </x:is>
      </x:c>
      <x:c r="B1629" s="1" t="inlineStr">
        <x:is>
          <x:t xml:space="preserve">Round2</x:t>
        </x:is>
      </x:c>
      <x:c r="C1629" s="1" t="inlineStr">
        <x:is>
          <x:t xml:space="preserve">Math_88</x:t>
        </x:is>
      </x:c>
      <x:c r="D1629" s="1" t="inlineStr">
        <x:is>
          <x:t xml:space="preserve">INCONCLUSIVE</x:t>
        </x:is>
      </x:c>
      <x:c r="E1629" s="5">
        <x:v>0.0724</x:v>
      </x:c>
      <x:c r="F1629" s="4">
        <x:v>0</x:v>
      </x:c>
      <x:c r="G1629" s="4">
        <x:v>20609</x:v>
      </x:c>
      <x:c r="H1629" s="6">
        <x:v>87.01</x:v>
      </x:c>
      <x:c r="I1629" s="16">
        <x:v>1</x:v>
      </x:c>
      <x:c r="J1629">
        <x:v>152</x:v>
      </x:c>
      <x:c r="K1629" s="4">
        <x:v>11</x:v>
      </x:c>
      <x:c r="L1629" s="4">
        <x:v>94</x:v>
      </x:c>
      <x:c r="M1629" s="4">
        <x:v>6</x:v>
      </x:c>
      <x:c r="N1629" s="5">
        <x:v>0.0638</x:v>
      </x:c>
    </x:row>
    <x:row r="1630" ht="24" customHeight="1">
      <x:c r="A1630" s="1" t="inlineStr">
        <x:is>
          <x:t xml:space="preserve">RESULT</x:t>
        </x:is>
      </x:c>
      <x:c r="B1630" s="1" t="inlineStr">
        <x:is>
          <x:t xml:space="preserve">Round2</x:t>
        </x:is>
      </x:c>
      <x:c r="C1630" s="1" t="inlineStr">
        <x:is>
          <x:t xml:space="preserve">Math_89</x:t>
        </x:is>
      </x:c>
      <x:c r="D1630" s="1" t="inlineStr">
        <x:is>
          <x:t xml:space="preserve">NOT_REVEALING</x:t>
        </x:is>
      </x:c>
      <x:c r="E1630" s="5">
        <x:v>0.8981</x:v>
      </x:c>
      <x:c r="F1630" s="4">
        <x:v>0</x:v>
      </x:c>
      <x:c r="G1630" s="4"/>
      <x:c r="H1630" s="6"/>
      <x:c r="I1630" s="16">
        <x:v>1</x:v>
      </x:c>
      <x:c r="J1630">
        <x:v>108</x:v>
      </x:c>
      <x:c r="K1630" s="4">
        <x:v>97</x:v>
      </x:c>
      <x:c r="L1630" s="4">
        <x:v>32</x:v>
      </x:c>
      <x:c r="M1630" s="4">
        <x:v>30</x:v>
      </x:c>
      <x:c r="N1630" s="5">
        <x:v>0.9375</x:v>
      </x:c>
    </x:row>
    <x:row r="1631" ht="24" customHeight="1">
      <x:c r="A1631" s="1" t="inlineStr">
        <x:is>
          <x:t xml:space="preserve">RESULT</x:t>
        </x:is>
      </x:c>
      <x:c r="B1631" s="1" t="inlineStr">
        <x:is>
          <x:t xml:space="preserve">Round2</x:t>
        </x:is>
      </x:c>
      <x:c r="C1631" s="1" t="inlineStr">
        <x:is>
          <x:t xml:space="preserve">Math_9</x:t>
        </x:is>
      </x:c>
      <x:c r="D1631" s="1" t="inlineStr">
        <x:is>
          <x:t xml:space="preserve">NOT_REVEALING</x:t>
        </x:is>
      </x:c>
      <x:c r="E1631" s="5">
        <x:v>0.9783</x:v>
      </x:c>
      <x:c r="F1631" s="4">
        <x:v>0</x:v>
      </x:c>
      <x:c r="G1631" s="4">
        <x:v>15724</x:v>
      </x:c>
      <x:c r="H1631" s="6">
        <x:v>523.34</x:v>
      </x:c>
      <x:c r="I1631" s="16">
        <x:v>1</x:v>
      </x:c>
      <x:c r="J1631">
        <x:v>46</x:v>
      </x:c>
      <x:c r="K1631" s="4">
        <x:v>45</x:v>
      </x:c>
      <x:c r="L1631" s="4">
        <x:v>16</x:v>
      </x:c>
      <x:c r="M1631" s="4">
        <x:v>16</x:v>
      </x:c>
      <x:c r="N1631" s="5">
        <x:v>1.0</x:v>
      </x:c>
    </x:row>
    <x:row r="1632" ht="24" customHeight="1">
      <x:c r="A1632" s="1" t="inlineStr">
        <x:is>
          <x:t xml:space="preserve">RESULT</x:t>
        </x:is>
      </x:c>
      <x:c r="B1632" s="1" t="inlineStr">
        <x:is>
          <x:t xml:space="preserve">Round2</x:t>
        </x:is>
      </x:c>
      <x:c r="C1632" s="1" t="inlineStr">
        <x:is>
          <x:t xml:space="preserve">Math_90</x:t>
        </x:is>
      </x:c>
      <x:c r="D1632" s="1" t="inlineStr">
        <x:is>
          <x:t xml:space="preserve">INCONCLUSIVE</x:t>
        </x:is>
      </x:c>
      <x:c r="E1632" s="5">
        <x:v>0.8208</x:v>
      </x:c>
      <x:c r="F1632" s="4">
        <x:v>0</x:v>
      </x:c>
      <x:c r="G1632" s="4"/>
      <x:c r="H1632" s="6"/>
      <x:c r="I1632" s="16">
        <x:v>1</x:v>
      </x:c>
      <x:c r="J1632">
        <x:v>106</x:v>
      </x:c>
      <x:c r="K1632" s="4">
        <x:v>87</x:v>
      </x:c>
      <x:c r="L1632" s="4">
        <x:v>32</x:v>
      </x:c>
      <x:c r="M1632" s="4">
        <x:v>29</x:v>
      </x:c>
      <x:c r="N1632" s="5">
        <x:v>0.9062</x:v>
      </x:c>
    </x:row>
    <x:row r="1633" ht="24" customHeight="1">
      <x:c r="A1633" s="1" t="inlineStr">
        <x:is>
          <x:t xml:space="preserve">RESULT</x:t>
        </x:is>
      </x:c>
      <x:c r="B1633" s="1" t="inlineStr">
        <x:is>
          <x:t xml:space="preserve">Round2</x:t>
        </x:is>
      </x:c>
      <x:c r="C1633" s="1" t="inlineStr">
        <x:is>
          <x:t xml:space="preserve">Math_91</x:t>
        </x:is>
      </x:c>
      <x:c r="D1633" s="1" t="inlineStr">
        <x:is>
          <x:t xml:space="preserve">NOT_REVEALING</x:t>
        </x:is>
      </x:c>
      <x:c r="E1633" s="5">
        <x:v>0.9693</x:v>
      </x:c>
      <x:c r="F1633" s="4">
        <x:v>0</x:v>
      </x:c>
      <x:c r="G1633" s="4"/>
      <x:c r="H1633" s="6"/>
      <x:c r="I1633" s="16">
        <x:v>1</x:v>
      </x:c>
      <x:c r="J1633">
        <x:v>163</x:v>
      </x:c>
      <x:c r="K1633" s="4">
        <x:v>158</x:v>
      </x:c>
      <x:c r="L1633" s="4">
        <x:v>90</x:v>
      </x:c>
      <x:c r="M1633" s="4">
        <x:v>85</x:v>
      </x:c>
      <x:c r="N1633" s="5">
        <x:v>0.9444</x:v>
      </x:c>
    </x:row>
    <x:row r="1634" ht="24" customHeight="1">
      <x:c r="A1634" s="1" t="inlineStr">
        <x:is>
          <x:t xml:space="preserve">RESULT</x:t>
        </x:is>
      </x:c>
      <x:c r="B1634" s="1" t="inlineStr">
        <x:is>
          <x:t xml:space="preserve">Round2</x:t>
        </x:is>
      </x:c>
      <x:c r="C1634" s="1" t="inlineStr">
        <x:is>
          <x:t xml:space="preserve">Math_92</x:t>
        </x:is>
      </x:c>
      <x:c r="D1634" s="1" t="inlineStr">
        <x:is>
          <x:t xml:space="preserve">INCONCLUSIVE</x:t>
        </x:is>
      </x:c>
      <x:c r="E1634" s="5">
        <x:v>0.7965000000000001</x:v>
      </x:c>
      <x:c r="F1634" s="4">
        <x:v>0</x:v>
      </x:c>
      <x:c r="G1634" s="4"/>
      <x:c r="H1634" s="6"/>
      <x:c r="I1634" s="16">
        <x:v>1</x:v>
      </x:c>
      <x:c r="J1634">
        <x:v>231</x:v>
      </x:c>
      <x:c r="K1634" s="4">
        <x:v>184</x:v>
      </x:c>
      <x:c r="L1634" s="4">
        <x:v>223</x:v>
      </x:c>
      <x:c r="M1634" s="4">
        <x:v>181</x:v>
      </x:c>
      <x:c r="N1634" s="5">
        <x:v>0.8117</x:v>
      </x:c>
    </x:row>
    <x:row r="1635" ht="24" customHeight="1">
      <x:c r="A1635" s="1" t="inlineStr">
        <x:is>
          <x:t xml:space="preserve">RESULT</x:t>
        </x:is>
      </x:c>
      <x:c r="B1635" s="1" t="inlineStr">
        <x:is>
          <x:t xml:space="preserve">Round2</x:t>
        </x:is>
      </x:c>
      <x:c r="C1635" s="1" t="inlineStr">
        <x:is>
          <x:t xml:space="preserve">Math_93</x:t>
        </x:is>
      </x:c>
      <x:c r="D1635" s="1" t="inlineStr">
        <x:is>
          <x:t xml:space="preserve">NOT_REVEALING</x:t>
        </x:is>
      </x:c>
      <x:c r="E1635" s="5">
        <x:v>0.9336</x:v>
      </x:c>
      <x:c r="F1635" s="4">
        <x:v>0</x:v>
      </x:c>
      <x:c r="G1635" s="4"/>
      <x:c r="H1635" s="6"/>
      <x:c r="I1635" s="16">
        <x:v>1</x:v>
      </x:c>
      <x:c r="J1635">
        <x:v>226</x:v>
      </x:c>
      <x:c r="K1635" s="4">
        <x:v>211</x:v>
      </x:c>
      <x:c r="L1635" s="4">
        <x:v>217</x:v>
      </x:c>
      <x:c r="M1635" s="4">
        <x:v>202</x:v>
      </x:c>
      <x:c r="N1635" s="5">
        <x:v>0.9309000000000001</x:v>
      </x:c>
    </x:row>
    <x:row r="1636" ht="24" customHeight="1">
      <x:c r="A1636" s="1" t="inlineStr">
        <x:is>
          <x:t xml:space="preserve">RESULT</x:t>
        </x:is>
      </x:c>
      <x:c r="B1636" s="1" t="inlineStr">
        <x:is>
          <x:t xml:space="preserve">Round2</x:t>
        </x:is>
      </x:c>
      <x:c r="C1636" s="1" t="inlineStr">
        <x:is>
          <x:t xml:space="preserve">Math_94</x:t>
        </x:is>
      </x:c>
      <x:c r="D1636" s="1" t="inlineStr">
        <x:is>
          <x:t xml:space="preserve">NOT_REVEALING</x:t>
        </x:is>
      </x:c>
      <x:c r="E1636" s="5">
        <x:v>0.8</x:v>
      </x:c>
      <x:c r="F1636" s="4">
        <x:v>0</x:v>
      </x:c>
      <x:c r="G1636" s="4"/>
      <x:c r="H1636" s="6"/>
      <x:c r="I1636" s="16">
        <x:v>1</x:v>
      </x:c>
      <x:c r="J1636">
        <x:v>225</x:v>
      </x:c>
      <x:c r="K1636" s="4">
        <x:v>180</x:v>
      </x:c>
      <x:c r="L1636" s="4">
        <x:v>215</x:v>
      </x:c>
      <x:c r="M1636" s="4">
        <x:v>175</x:v>
      </x:c>
      <x:c r="N1636" s="5">
        <x:v>0.8140000000000001</x:v>
      </x:c>
    </x:row>
    <x:row r="1637" ht="24" customHeight="1">
      <x:c r="A1637" s="1" t="inlineStr">
        <x:is>
          <x:t xml:space="preserve">RESULT</x:t>
        </x:is>
      </x:c>
      <x:c r="B1637" s="1" t="inlineStr">
        <x:is>
          <x:t xml:space="preserve">Round2</x:t>
        </x:is>
      </x:c>
      <x:c r="C1637" s="1" t="inlineStr">
        <x:is>
          <x:t xml:space="preserve">Math_95</x:t>
        </x:is>
      </x:c>
      <x:c r="D1637" s="1" t="inlineStr">
        <x:is>
          <x:t xml:space="preserve">NOT_REVEALING</x:t>
        </x:is>
      </x:c>
      <x:c r="E1637" s="5">
        <x:v>1.0</x:v>
      </x:c>
      <x:c r="F1637" s="4">
        <x:v>0</x:v>
      </x:c>
      <x:c r="G1637" s="4"/>
      <x:c r="H1637" s="6"/>
      <x:c r="I1637" s="16">
        <x:v>1</x:v>
      </x:c>
      <x:c r="J1637">
        <x:v>30</x:v>
      </x:c>
      <x:c r="K1637" s="4">
        <x:v>30</x:v>
      </x:c>
      <x:c r="L1637" s="4">
        <x:v>10</x:v>
      </x:c>
      <x:c r="M1637" s="4">
        <x:v>10</x:v>
      </x:c>
      <x:c r="N1637" s="5">
        <x:v>1.0</x:v>
      </x:c>
    </x:row>
    <x:row r="1638" ht="24" customHeight="1">
      <x:c r="A1638" s="1" t="inlineStr">
        <x:is>
          <x:t xml:space="preserve">RESULT</x:t>
        </x:is>
      </x:c>
      <x:c r="B1638" s="1" t="inlineStr">
        <x:is>
          <x:t xml:space="preserve">Round2</x:t>
        </x:is>
      </x:c>
      <x:c r="C1638" s="1" t="inlineStr">
        <x:is>
          <x:t xml:space="preserve">Math_96</x:t>
        </x:is>
      </x:c>
      <x:c r="D1638" s="1" t="inlineStr">
        <x:is>
          <x:t xml:space="preserve">INCONCLUSIVE</x:t>
        </x:is>
      </x:c>
      <x:c r="E1638" s="5">
        <x:v>0.9789</x:v>
      </x:c>
      <x:c r="F1638" s="4">
        <x:v>0</x:v>
      </x:c>
      <x:c r="G1638" s="4"/>
      <x:c r="H1638" s="6"/>
      <x:c r="I1638" s="16">
        <x:v>1</x:v>
      </x:c>
      <x:c r="J1638">
        <x:v>142</x:v>
      </x:c>
      <x:c r="K1638" s="4">
        <x:v>139</x:v>
      </x:c>
      <x:c r="L1638" s="4">
        <x:v>102</x:v>
      </x:c>
      <x:c r="M1638" s="4">
        <x:v>91</x:v>
      </x:c>
      <x:c r="N1638" s="5">
        <x:v>0.8922</x:v>
      </x:c>
    </x:row>
    <x:row r="1639" ht="24" customHeight="1">
      <x:c r="A1639" s="1" t="inlineStr">
        <x:is>
          <x:t xml:space="preserve">RESULT</x:t>
        </x:is>
      </x:c>
      <x:c r="B1639" s="1" t="inlineStr">
        <x:is>
          <x:t xml:space="preserve">Round2</x:t>
        </x:is>
      </x:c>
      <x:c r="C1639" s="1" t="inlineStr">
        <x:is>
          <x:t xml:space="preserve">Math_97</x:t>
        </x:is>
      </x:c>
      <x:c r="D1639" s="1" t="inlineStr">
        <x:is>
          <x:t xml:space="preserve">NOT_REVEALING</x:t>
        </x:is>
      </x:c>
      <x:c r="E1639" s="5">
        <x:v>0.9775</x:v>
      </x:c>
      <x:c r="F1639" s="4">
        <x:v>0</x:v>
      </x:c>
      <x:c r="G1639" s="4"/>
      <x:c r="H1639" s="6"/>
      <x:c r="I1639" s="16">
        <x:v>1</x:v>
      </x:c>
      <x:c r="J1639">
        <x:v>89</x:v>
      </x:c>
      <x:c r="K1639" s="4">
        <x:v>87</x:v>
      </x:c>
      <x:c r="L1639" s="4">
        <x:v>46</x:v>
      </x:c>
      <x:c r="M1639" s="4">
        <x:v>41</x:v>
      </x:c>
      <x:c r="N1639" s="5">
        <x:v>0.8913</x:v>
      </x:c>
    </x:row>
    <x:row r="1640" ht="24" customHeight="1">
      <x:c r="A1640" s="1" t="inlineStr">
        <x:is>
          <x:t xml:space="preserve">RESULT</x:t>
        </x:is>
      </x:c>
      <x:c r="B1640" s="1" t="inlineStr">
        <x:is>
          <x:t xml:space="preserve">Round2</x:t>
        </x:is>
      </x:c>
      <x:c r="C1640" s="1" t="inlineStr">
        <x:is>
          <x:t xml:space="preserve">Math_98</x:t>
        </x:is>
      </x:c>
      <x:c r="D1640" s="1" t="inlineStr">
        <x:is>
          <x:t xml:space="preserve">INCONCLUSIVE</x:t>
        </x:is>
      </x:c>
      <x:c r="E1640" s="5">
        <x:v>0.8420000000000001</x:v>
      </x:c>
      <x:c r="F1640" s="4">
        <x:v>0</x:v>
      </x:c>
      <x:c r="G1640" s="4"/>
      <x:c r="H1640" s="6"/>
      <x:c r="I1640" s="16">
        <x:v>1</x:v>
      </x:c>
      <x:c r="J1640">
        <x:v>918</x:v>
      </x:c>
      <x:c r="K1640" s="4">
        <x:v>773</x:v>
      </x:c>
      <x:c r="L1640" s="4">
        <x:v>554</x:v>
      </x:c>
      <x:c r="M1640" s="4">
        <x:v>440</x:v>
      </x:c>
      <x:c r="N1640" s="5">
        <x:v>0.7942</x:v>
      </x:c>
    </x:row>
    <x:row r="1641" ht="24" customHeight="1">
      <x:c r="A1641" s="1" t="inlineStr">
        <x:is>
          <x:t xml:space="preserve">RESULT</x:t>
        </x:is>
      </x:c>
      <x:c r="B1641" s="1" t="inlineStr">
        <x:is>
          <x:t xml:space="preserve">Round2</x:t>
        </x:is>
      </x:c>
      <x:c r="C1641" s="1" t="inlineStr">
        <x:is>
          <x:t xml:space="preserve">Math_99</x:t>
        </x:is>
      </x:c>
      <x:c r="D1641" s="1" t="inlineStr">
        <x:is>
          <x:t xml:space="preserve">NOT_REVEALING</x:t>
        </x:is>
      </x:c>
      <x:c r="E1641" s="5">
        <x:v>0.9257</x:v>
      </x:c>
      <x:c r="F1641" s="4">
        <x:v>0</x:v>
      </x:c>
      <x:c r="G1641" s="4"/>
      <x:c r="H1641" s="6"/>
      <x:c r="I1641" s="16">
        <x:v>1</x:v>
      </x:c>
      <x:c r="J1641">
        <x:v>269</x:v>
      </x:c>
      <x:c r="K1641" s="4">
        <x:v>249</x:v>
      </x:c>
      <x:c r="L1641" s="4">
        <x:v>271</x:v>
      </x:c>
      <x:c r="M1641" s="4">
        <x:v>245</x:v>
      </x:c>
      <x:c r="N1641" s="5">
        <x:v>0.9041</x:v>
      </x:c>
    </x:row>
    <x:row r="1642" ht="24" customHeight="1">
      <x:c r="A1642" s="1" t="inlineStr">
        <x:is>
          <x:t xml:space="preserve">RESULT</x:t>
        </x:is>
      </x:c>
      <x:c r="B1642" s="1" t="inlineStr">
        <x:is>
          <x:t xml:space="preserve">Round2</x:t>
        </x:is>
      </x:c>
      <x:c r="C1642" s="1" t="inlineStr">
        <x:is>
          <x:t xml:space="preserve">Mockito_1</x:t>
        </x:is>
      </x:c>
      <x:c r="D1642" s="1" t="inlineStr">
        <x:is>
          <x:t xml:space="preserve">NOT_AVAILABLE</x:t>
        </x:is>
      </x:c>
      <x:c r="E1642" s="5"/>
      <x:c r="F1642" s="4">
        <x:v>0</x:v>
      </x:c>
      <x:c r="G1642" s="4">
        <x:v>29941</x:v>
      </x:c>
      <x:c r="H1642" s="6">
        <x:v>1130.12</x:v>
      </x:c>
      <x:c r="I1642" s="16">
        <x:v>1</x:v>
      </x:c>
      <x:c r="J1642"/>
      <x:c r="K1642" s="4"/>
      <x:c r="L1642" s="4"/>
      <x:c r="M1642" s="4"/>
      <x:c r="N1642" s="5"/>
    </x:row>
    <x:row r="1643" ht="24" customHeight="1">
      <x:c r="A1643" s="1" t="inlineStr">
        <x:is>
          <x:t xml:space="preserve">RESULT</x:t>
        </x:is>
      </x:c>
      <x:c r="B1643" s="1" t="inlineStr">
        <x:is>
          <x:t xml:space="preserve">Round2</x:t>
        </x:is>
      </x:c>
      <x:c r="C1643" s="1" t="inlineStr">
        <x:is>
          <x:t xml:space="preserve">Mockito_10</x:t>
        </x:is>
      </x:c>
      <x:c r="D1643" s="1" t="inlineStr">
        <x:is>
          <x:t xml:space="preserve">NOT_AVAILABLE</x:t>
        </x:is>
      </x:c>
      <x:c r="E1643" s="5"/>
      <x:c r="F1643" s="4">
        <x:v>0</x:v>
      </x:c>
      <x:c r="G1643" s="4">
        <x:v>11174</x:v>
      </x:c>
      <x:c r="H1643" s="6">
        <x:v>78.65</x:v>
      </x:c>
      <x:c r="I1643" s="16">
        <x:v>1</x:v>
      </x:c>
      <x:c r="J1643"/>
      <x:c r="K1643" s="4"/>
      <x:c r="L1643" s="4"/>
      <x:c r="M1643" s="4"/>
      <x:c r="N1643" s="5"/>
    </x:row>
    <x:row r="1644" ht="24" customHeight="1">
      <x:c r="A1644" s="1" t="inlineStr">
        <x:is>
          <x:t xml:space="preserve">RESULT</x:t>
        </x:is>
      </x:c>
      <x:c r="B1644" s="1" t="inlineStr">
        <x:is>
          <x:t xml:space="preserve">Round2</x:t>
        </x:is>
      </x:c>
      <x:c r="C1644" s="1" t="inlineStr">
        <x:is>
          <x:t xml:space="preserve">Mockito_11</x:t>
        </x:is>
      </x:c>
      <x:c r="D1644" s="1" t="inlineStr">
        <x:is>
          <x:t xml:space="preserve">INCONCLUSIVE</x:t>
        </x:is>
      </x:c>
      <x:c r="E1644" s="5">
        <x:v>1.0</x:v>
      </x:c>
      <x:c r="F1644" s="4">
        <x:v>0</x:v>
      </x:c>
      <x:c r="G1644" s="4"/>
      <x:c r="H1644" s="6"/>
      <x:c r="I1644" s="16">
        <x:v>1</x:v>
      </x:c>
      <x:c r="J1644">
        <x:v>14</x:v>
      </x:c>
      <x:c r="K1644" s="4">
        <x:v>14</x:v>
      </x:c>
      <x:c r="L1644" s="4">
        <x:v>6</x:v>
      </x:c>
      <x:c r="M1644" s="4">
        <x:v>3</x:v>
      </x:c>
      <x:c r="N1644" s="5">
        <x:v>0.5</x:v>
      </x:c>
    </x:row>
    <x:row r="1645" ht="24" customHeight="1">
      <x:c r="A1645" s="1" t="inlineStr">
        <x:is>
          <x:t xml:space="preserve">RESULT</x:t>
        </x:is>
      </x:c>
      <x:c r="B1645" s="1" t="inlineStr">
        <x:is>
          <x:t xml:space="preserve">Round2</x:t>
        </x:is>
      </x:c>
      <x:c r="C1645" s="1" t="inlineStr">
        <x:is>
          <x:t xml:space="preserve">Mockito_12</x:t>
        </x:is>
      </x:c>
      <x:c r="D1645" s="1" t="inlineStr">
        <x:is>
          <x:t xml:space="preserve">INCONCLUSIVE</x:t>
        </x:is>
      </x:c>
      <x:c r="E1645" s="5">
        <x:v>1.0</x:v>
      </x:c>
      <x:c r="F1645" s="4">
        <x:v>0</x:v>
      </x:c>
      <x:c r="G1645" s="4"/>
      <x:c r="H1645" s="6"/>
      <x:c r="I1645" s="16">
        <x:v>1</x:v>
      </x:c>
      <x:c r="J1645">
        <x:v>6</x:v>
      </x:c>
      <x:c r="K1645" s="4">
        <x:v>6</x:v>
      </x:c>
      <x:c r="L1645" s="4">
        <x:v>4</x:v>
      </x:c>
      <x:c r="M1645" s="4">
        <x:v>3</x:v>
      </x:c>
      <x:c r="N1645" s="5">
        <x:v>0.75</x:v>
      </x:c>
    </x:row>
    <x:row r="1646" ht="24" customHeight="1">
      <x:c r="A1646" s="1" t="inlineStr">
        <x:is>
          <x:t xml:space="preserve">RESULT</x:t>
        </x:is>
      </x:c>
      <x:c r="B1646" s="1" t="inlineStr">
        <x:is>
          <x:t xml:space="preserve">Round2</x:t>
        </x:is>
      </x:c>
      <x:c r="C1646" s="1" t="inlineStr">
        <x:is>
          <x:t xml:space="preserve">Mockito_13</x:t>
        </x:is>
      </x:c>
      <x:c r="D1646" s="1" t="inlineStr">
        <x:is>
          <x:t xml:space="preserve">NOT_AVAILABLE</x:t>
        </x:is>
      </x:c>
      <x:c r="E1646" s="5"/>
      <x:c r="F1646" s="4">
        <x:v>0</x:v>
      </x:c>
      <x:c r="G1646" s="4">
        <x:v>11915</x:v>
      </x:c>
      <x:c r="H1646" s="6">
        <x:v>95.19</x:v>
      </x:c>
      <x:c r="I1646" s="16">
        <x:v>1</x:v>
      </x:c>
      <x:c r="J1646"/>
      <x:c r="K1646" s="4"/>
      <x:c r="L1646" s="4"/>
      <x:c r="M1646" s="4"/>
      <x:c r="N1646" s="5"/>
    </x:row>
    <x:row r="1647" ht="24" customHeight="1">
      <x:c r="A1647" s="1" t="inlineStr">
        <x:is>
          <x:t xml:space="preserve">RESULT</x:t>
        </x:is>
      </x:c>
      <x:c r="B1647" s="1" t="inlineStr">
        <x:is>
          <x:t xml:space="preserve">Round2</x:t>
        </x:is>
      </x:c>
      <x:c r="C1647" s="1" t="inlineStr">
        <x:is>
          <x:t xml:space="preserve">Mockito_14</x:t>
        </x:is>
      </x:c>
      <x:c r="D1647" s="1" t="inlineStr">
        <x:is>
          <x:t xml:space="preserve">NOT_AVAILABLE</x:t>
        </x:is>
      </x:c>
      <x:c r="E1647" s="5"/>
      <x:c r="F1647" s="4">
        <x:v>0</x:v>
      </x:c>
      <x:c r="G1647" s="4">
        <x:v>47089</x:v>
      </x:c>
      <x:c r="H1647" s="6">
        <x:v>249.5</x:v>
      </x:c>
      <x:c r="I1647" s="16">
        <x:v>1</x:v>
      </x:c>
      <x:c r="J1647"/>
      <x:c r="K1647" s="4"/>
      <x:c r="L1647" s="4"/>
      <x:c r="M1647" s="4"/>
      <x:c r="N1647" s="5"/>
    </x:row>
    <x:row r="1648" ht="24" customHeight="1">
      <x:c r="A1648" s="1" t="inlineStr">
        <x:is>
          <x:t xml:space="preserve">RESULT</x:t>
        </x:is>
      </x:c>
      <x:c r="B1648" s="1" t="inlineStr">
        <x:is>
          <x:t xml:space="preserve">Round2</x:t>
        </x:is>
      </x:c>
      <x:c r="C1648" s="1" t="inlineStr">
        <x:is>
          <x:t xml:space="preserve">Mockito_15</x:t>
        </x:is>
      </x:c>
      <x:c r="D1648" s="1" t="inlineStr">
        <x:is>
          <x:t xml:space="preserve">NOT_REVEALING</x:t>
        </x:is>
      </x:c>
      <x:c r="E1648" s="5">
        <x:v>1.0</x:v>
      </x:c>
      <x:c r="F1648" s="4">
        <x:v>0</x:v>
      </x:c>
      <x:c r="G1648" s="4"/>
      <x:c r="H1648" s="6"/>
      <x:c r="I1648" s="16">
        <x:v>1</x:v>
      </x:c>
      <x:c r="J1648">
        <x:v>13</x:v>
      </x:c>
      <x:c r="K1648" s="4">
        <x:v>13</x:v>
      </x:c>
      <x:c r="L1648" s="4">
        <x:v>2</x:v>
      </x:c>
      <x:c r="M1648" s="4">
        <x:v>2</x:v>
      </x:c>
      <x:c r="N1648" s="5">
        <x:v>1.0</x:v>
      </x:c>
    </x:row>
    <x:row r="1649" ht="24" customHeight="1">
      <x:c r="A1649" s="1" t="inlineStr">
        <x:is>
          <x:t xml:space="preserve">RESULT</x:t>
        </x:is>
      </x:c>
      <x:c r="B1649" s="1" t="inlineStr">
        <x:is>
          <x:t xml:space="preserve">Round2</x:t>
        </x:is>
      </x:c>
      <x:c r="C1649" s="1" t="inlineStr">
        <x:is>
          <x:t xml:space="preserve">Mockito_16</x:t>
        </x:is>
      </x:c>
      <x:c r="D1649" s="1" t="inlineStr">
        <x:is>
          <x:t xml:space="preserve">NOT_AVAILABLE</x:t>
        </x:is>
      </x:c>
      <x:c r="E1649" s="5"/>
      <x:c r="F1649" s="4">
        <x:v>0</x:v>
      </x:c>
      <x:c r="G1649" s="4">
        <x:v>28467</x:v>
      </x:c>
      <x:c r="H1649" s="6">
        <x:v>228.43</x:v>
      </x:c>
      <x:c r="I1649" s="16">
        <x:v>1</x:v>
      </x:c>
      <x:c r="J1649"/>
      <x:c r="K1649" s="4"/>
      <x:c r="L1649" s="4"/>
      <x:c r="M1649" s="4"/>
      <x:c r="N1649" s="5"/>
    </x:row>
    <x:row r="1650" ht="24" customHeight="1">
      <x:c r="A1650" s="1" t="inlineStr">
        <x:is>
          <x:t xml:space="preserve">RESULT</x:t>
        </x:is>
      </x:c>
      <x:c r="B1650" s="1" t="inlineStr">
        <x:is>
          <x:t xml:space="preserve">Round2</x:t>
        </x:is>
      </x:c>
      <x:c r="C1650" s="1" t="inlineStr">
        <x:is>
          <x:t xml:space="preserve">Mockito_17</x:t>
        </x:is>
      </x:c>
      <x:c r="D1650" s="1" t="inlineStr">
        <x:is>
          <x:t xml:space="preserve">INCONCLUSIVE</x:t>
        </x:is>
      </x:c>
      <x:c r="E1650" s="5">
        <x:v>1.0</x:v>
      </x:c>
      <x:c r="F1650" s="4">
        <x:v>0</x:v>
      </x:c>
      <x:c r="G1650" s="4">
        <x:v>41653</x:v>
      </x:c>
      <x:c r="H1650" s="6">
        <x:v>194.24</x:v>
      </x:c>
      <x:c r="I1650" s="16">
        <x:v>1</x:v>
      </x:c>
      <x:c r="J1650">
        <x:v>61</x:v>
      </x:c>
      <x:c r="K1650" s="4">
        <x:v>61</x:v>
      </x:c>
      <x:c r="L1650" s="4">
        <x:v>32</x:v>
      </x:c>
      <x:c r="M1650" s="4">
        <x:v>32</x:v>
      </x:c>
      <x:c r="N1650" s="5">
        <x:v>1.0</x:v>
      </x:c>
    </x:row>
    <x:row r="1651" ht="24" customHeight="1">
      <x:c r="A1651" s="1" t="inlineStr">
        <x:is>
          <x:t xml:space="preserve">RESULT</x:t>
        </x:is>
      </x:c>
      <x:c r="B1651" s="1" t="inlineStr">
        <x:is>
          <x:t xml:space="preserve">Round2</x:t>
        </x:is>
      </x:c>
      <x:c r="C1651" s="1" t="inlineStr">
        <x:is>
          <x:t xml:space="preserve">Mockito_18</x:t>
        </x:is>
      </x:c>
      <x:c r="D1651" s="1" t="inlineStr">
        <x:is>
          <x:t xml:space="preserve">NOT_AVAILABLE</x:t>
        </x:is>
      </x:c>
      <x:c r="E1651" s="5"/>
      <x:c r="F1651" s="4">
        <x:v>0</x:v>
      </x:c>
      <x:c r="G1651" s="4">
        <x:v>8105</x:v>
      </x:c>
      <x:c r="H1651" s="6">
        <x:v>46.27</x:v>
      </x:c>
      <x:c r="I1651" s="16">
        <x:v>1</x:v>
      </x:c>
      <x:c r="J1651"/>
      <x:c r="K1651" s="4"/>
      <x:c r="L1651" s="4"/>
      <x:c r="M1651" s="4"/>
      <x:c r="N1651" s="5"/>
    </x:row>
    <x:row r="1652" ht="24" customHeight="1">
      <x:c r="A1652" s="1" t="inlineStr">
        <x:is>
          <x:t xml:space="preserve">RESULT</x:t>
        </x:is>
      </x:c>
      <x:c r="B1652" s="1" t="inlineStr">
        <x:is>
          <x:t xml:space="preserve">Round2</x:t>
        </x:is>
      </x:c>
      <x:c r="C1652" s="1" t="inlineStr">
        <x:is>
          <x:t xml:space="preserve">Mockito_19</x:t>
        </x:is>
      </x:c>
      <x:c r="D1652" s="1" t="inlineStr">
        <x:is>
          <x:t xml:space="preserve">NOT_AVAILABLE</x:t>
        </x:is>
      </x:c>
      <x:c r="E1652" s="5"/>
      <x:c r="F1652" s="4">
        <x:v>0</x:v>
      </x:c>
      <x:c r="G1652" s="4">
        <x:v>65263</x:v>
      </x:c>
      <x:c r="H1652" s="6">
        <x:v>350.57</x:v>
      </x:c>
      <x:c r="I1652" s="16">
        <x:v>1</x:v>
      </x:c>
      <x:c r="J1652"/>
      <x:c r="K1652" s="4"/>
      <x:c r="L1652" s="4"/>
      <x:c r="M1652" s="4"/>
      <x:c r="N1652" s="5"/>
    </x:row>
    <x:row r="1653" ht="24" customHeight="1">
      <x:c r="A1653" s="1" t="inlineStr">
        <x:is>
          <x:t xml:space="preserve">RESULT</x:t>
        </x:is>
      </x:c>
      <x:c r="B1653" s="1" t="inlineStr">
        <x:is>
          <x:t xml:space="preserve">Round2</x:t>
        </x:is>
      </x:c>
      <x:c r="C1653" s="1" t="inlineStr">
        <x:is>
          <x:t xml:space="preserve">Mockito_2</x:t>
        </x:is>
      </x:c>
      <x:c r="D1653" s="1" t="inlineStr">
        <x:is>
          <x:t xml:space="preserve">INCONCLUSIVE</x:t>
        </x:is>
      </x:c>
      <x:c r="E1653" s="5">
        <x:v>1.0</x:v>
      </x:c>
      <x:c r="F1653" s="4">
        <x:v>0</x:v>
      </x:c>
      <x:c r="G1653" s="4"/>
      <x:c r="H1653" s="6"/>
      <x:c r="I1653" s="16">
        <x:v>1</x:v>
      </x:c>
      <x:c r="J1653">
        <x:v>9</x:v>
      </x:c>
      <x:c r="K1653" s="4">
        <x:v>9</x:v>
      </x:c>
      <x:c r="L1653" s="4">
        <x:v>6</x:v>
      </x:c>
      <x:c r="M1653" s="4">
        <x:v>3</x:v>
      </x:c>
      <x:c r="N1653" s="5">
        <x:v>0.5</x:v>
      </x:c>
    </x:row>
    <x:row r="1654" ht="24" customHeight="1">
      <x:c r="A1654" s="1" t="inlineStr">
        <x:is>
          <x:t xml:space="preserve">RESULT</x:t>
        </x:is>
      </x:c>
      <x:c r="B1654" s="1" t="inlineStr">
        <x:is>
          <x:t xml:space="preserve">Round2</x:t>
        </x:is>
      </x:c>
      <x:c r="C1654" s="1" t="inlineStr">
        <x:is>
          <x:t xml:space="preserve">Mockito_20</x:t>
        </x:is>
      </x:c>
      <x:c r="D1654" s="1" t="inlineStr">
        <x:is>
          <x:t xml:space="preserve">NOT_AVAILABLE</x:t>
        </x:is>
      </x:c>
      <x:c r="E1654" s="5"/>
      <x:c r="F1654" s="4">
        <x:v>0</x:v>
      </x:c>
      <x:c r="G1654" s="4">
        <x:v>8990</x:v>
      </x:c>
      <x:c r="H1654" s="6">
        <x:v>64.8</x:v>
      </x:c>
      <x:c r="I1654" s="16">
        <x:v>1</x:v>
      </x:c>
      <x:c r="J1654"/>
      <x:c r="K1654" s="4"/>
      <x:c r="L1654" s="4"/>
      <x:c r="M1654" s="4"/>
      <x:c r="N1654" s="5"/>
    </x:row>
    <x:row r="1655" ht="24" customHeight="1">
      <x:c r="A1655" s="1" t="inlineStr">
        <x:is>
          <x:t xml:space="preserve">RESULT</x:t>
        </x:is>
      </x:c>
      <x:c r="B1655" s="1" t="inlineStr">
        <x:is>
          <x:t xml:space="preserve">Round2</x:t>
        </x:is>
      </x:c>
      <x:c r="C1655" s="1" t="inlineStr">
        <x:is>
          <x:t xml:space="preserve">Mockito_21</x:t>
        </x:is>
      </x:c>
      <x:c r="D1655" s="1" t="inlineStr">
        <x:is>
          <x:t xml:space="preserve">INCONCLUSIVE</x:t>
        </x:is>
      </x:c>
      <x:c r="E1655" s="5">
        <x:v>1.0</x:v>
      </x:c>
      <x:c r="F1655" s="4">
        <x:v>0</x:v>
      </x:c>
      <x:c r="G1655" s="4"/>
      <x:c r="H1655" s="6"/>
      <x:c r="I1655" s="16">
        <x:v>1</x:v>
      </x:c>
      <x:c r="J1655">
        <x:v>16</x:v>
      </x:c>
      <x:c r="K1655" s="4">
        <x:v>16</x:v>
      </x:c>
      <x:c r="L1655" s="4">
        <x:v>2</x:v>
      </x:c>
      <x:c r="M1655" s="4">
        <x:v>2</x:v>
      </x:c>
      <x:c r="N1655" s="5">
        <x:v>1.0</x:v>
      </x:c>
    </x:row>
    <x:row r="1656" ht="24" customHeight="1">
      <x:c r="A1656" s="1" t="inlineStr">
        <x:is>
          <x:t xml:space="preserve">RESULT</x:t>
        </x:is>
      </x:c>
      <x:c r="B1656" s="1" t="inlineStr">
        <x:is>
          <x:t xml:space="preserve">Round2</x:t>
        </x:is>
      </x:c>
      <x:c r="C1656" s="1" t="inlineStr">
        <x:is>
          <x:t xml:space="preserve">Mockito_22</x:t>
        </x:is>
      </x:c>
      <x:c r="D1656" s="1" t="inlineStr">
        <x:is>
          <x:t xml:space="preserve">NOT_REVEALING</x:t>
        </x:is>
      </x:c>
      <x:c r="E1656" s="5">
        <x:v>0.9231</x:v>
      </x:c>
      <x:c r="F1656" s="4">
        <x:v>0</x:v>
      </x:c>
      <x:c r="G1656" s="4"/>
      <x:c r="H1656" s="6"/>
      <x:c r="I1656" s="16">
        <x:v>1</x:v>
      </x:c>
      <x:c r="J1656">
        <x:v>13</x:v>
      </x:c>
      <x:c r="K1656" s="4">
        <x:v>12</x:v>
      </x:c>
      <x:c r="L1656" s="4">
        <x:v>24</x:v>
      </x:c>
      <x:c r="M1656" s="4">
        <x:v>24</x:v>
      </x:c>
      <x:c r="N1656" s="5">
        <x:v>1.0</x:v>
      </x:c>
    </x:row>
    <x:row r="1657" ht="24" customHeight="1">
      <x:c r="A1657" s="1" t="inlineStr">
        <x:is>
          <x:t xml:space="preserve">RESULT</x:t>
        </x:is>
      </x:c>
      <x:c r="B1657" s="1" t="inlineStr">
        <x:is>
          <x:t xml:space="preserve">Round2</x:t>
        </x:is>
      </x:c>
      <x:c r="C1657" s="1" t="inlineStr">
        <x:is>
          <x:t xml:space="preserve">Mockito_23</x:t>
        </x:is>
      </x:c>
      <x:c r="D1657" s="1" t="inlineStr">
        <x:is>
          <x:t xml:space="preserve">NOT_AVAILABLE</x:t>
        </x:is>
      </x:c>
      <x:c r="E1657" s="5"/>
      <x:c r="F1657" s="4">
        <x:v>0</x:v>
      </x:c>
      <x:c r="G1657" s="4">
        <x:v>13106</x:v>
      </x:c>
      <x:c r="H1657" s="6">
        <x:v>94.4</x:v>
      </x:c>
      <x:c r="I1657" s="16">
        <x:v>1</x:v>
      </x:c>
      <x:c r="J1657"/>
      <x:c r="K1657" s="4"/>
      <x:c r="L1657" s="4"/>
      <x:c r="M1657" s="4"/>
      <x:c r="N1657" s="5"/>
    </x:row>
    <x:row r="1658" ht="24" customHeight="1">
      <x:c r="A1658" s="1" t="inlineStr">
        <x:is>
          <x:t xml:space="preserve">RESULT</x:t>
        </x:is>
      </x:c>
      <x:c r="B1658" s="1" t="inlineStr">
        <x:is>
          <x:t xml:space="preserve">Round2</x:t>
        </x:is>
      </x:c>
      <x:c r="C1658" s="1" t="inlineStr">
        <x:is>
          <x:t xml:space="preserve">Mockito_24</x:t>
        </x:is>
      </x:c>
      <x:c r="D1658" s="1" t="inlineStr">
        <x:is>
          <x:t xml:space="preserve">NOT_AVAILABLE</x:t>
        </x:is>
      </x:c>
      <x:c r="E1658" s="5"/>
      <x:c r="F1658" s="4">
        <x:v>0</x:v>
      </x:c>
      <x:c r="G1658" s="4">
        <x:v>13329</x:v>
      </x:c>
      <x:c r="H1658" s="6">
        <x:v>99.92</x:v>
      </x:c>
      <x:c r="I1658" s="16">
        <x:v>1</x:v>
      </x:c>
      <x:c r="J1658"/>
      <x:c r="K1658" s="4"/>
      <x:c r="L1658" s="4"/>
      <x:c r="M1658" s="4"/>
      <x:c r="N1658" s="5"/>
    </x:row>
    <x:row r="1659" ht="24" customHeight="1">
      <x:c r="A1659" s="1" t="inlineStr">
        <x:is>
          <x:t xml:space="preserve">RESULT</x:t>
        </x:is>
      </x:c>
      <x:c r="B1659" s="1" t="inlineStr">
        <x:is>
          <x:t xml:space="preserve">Round2</x:t>
        </x:is>
      </x:c>
      <x:c r="C1659" s="1" t="inlineStr">
        <x:is>
          <x:t xml:space="preserve">Mockito_25</x:t>
        </x:is>
      </x:c>
      <x:c r="D1659" s="1" t="inlineStr">
        <x:is>
          <x:t xml:space="preserve">NOT_REVEALING</x:t>
        </x:is>
      </x:c>
      <x:c r="E1659" s="5">
        <x:v>0.9565</x:v>
      </x:c>
      <x:c r="F1659" s="4">
        <x:v>0</x:v>
      </x:c>
      <x:c r="G1659" s="4">
        <x:v>30465</x:v>
      </x:c>
      <x:c r="H1659" s="6">
        <x:v>147.95</x:v>
      </x:c>
      <x:c r="I1659" s="16">
        <x:v>1</x:v>
      </x:c>
      <x:c r="J1659">
        <x:v>23</x:v>
      </x:c>
      <x:c r="K1659" s="4">
        <x:v>22</x:v>
      </x:c>
      <x:c r="L1659" s="4">
        <x:v>6</x:v>
      </x:c>
      <x:c r="M1659" s="4">
        <x:v>5</x:v>
      </x:c>
      <x:c r="N1659" s="5">
        <x:v>0.8332999999999999</x:v>
      </x:c>
    </x:row>
    <x:row r="1660" ht="24" customHeight="1">
      <x:c r="A1660" s="1" t="inlineStr">
        <x:is>
          <x:t xml:space="preserve">RESULT</x:t>
        </x:is>
      </x:c>
      <x:c r="B1660" s="1" t="inlineStr">
        <x:is>
          <x:t xml:space="preserve">Round2</x:t>
        </x:is>
      </x:c>
      <x:c r="C1660" s="1" t="inlineStr">
        <x:is>
          <x:t xml:space="preserve">Mockito_26</x:t>
        </x:is>
      </x:c>
      <x:c r="D1660" s="1" t="inlineStr">
        <x:is>
          <x:t xml:space="preserve">REVEALING</x:t>
        </x:is>
      </x:c>
      <x:c r="E1660" s="5">
        <x:v>0.9722</x:v>
      </x:c>
      <x:c r="F1660" s="4">
        <x:v>1</x:v>
      </x:c>
      <x:c r="G1660" s="4">
        <x:v>16627</x:v>
      </x:c>
      <x:c r="H1660" s="6">
        <x:v>73.84</x:v>
      </x:c>
      <x:c r="I1660" s="16">
        <x:v>1</x:v>
      </x:c>
      <x:c r="J1660">
        <x:v>36</x:v>
      </x:c>
      <x:c r="K1660" s="4">
        <x:v>35</x:v>
      </x:c>
      <x:c r="L1660" s="4">
        <x:v>2</x:v>
      </x:c>
      <x:c r="M1660" s="4">
        <x:v>2</x:v>
      </x:c>
      <x:c r="N1660" s="5">
        <x:v>1.0</x:v>
      </x:c>
    </x:row>
    <x:row r="1661" ht="24" customHeight="1">
      <x:c r="A1661" s="1" t="inlineStr">
        <x:is>
          <x:t xml:space="preserve">RESULT</x:t>
        </x:is>
      </x:c>
      <x:c r="B1661" s="1" t="inlineStr">
        <x:is>
          <x:t xml:space="preserve">Round2</x:t>
        </x:is>
      </x:c>
      <x:c r="C1661" s="1" t="inlineStr">
        <x:is>
          <x:t xml:space="preserve">Mockito_27</x:t>
        </x:is>
      </x:c>
      <x:c r="D1661" s="1" t="inlineStr">
        <x:is>
          <x:t xml:space="preserve">NOT_AVAILABLE</x:t>
        </x:is>
      </x:c>
      <x:c r="E1661" s="5"/>
      <x:c r="F1661" s="4">
        <x:v>0</x:v>
      </x:c>
      <x:c r="G1661" s="4">
        <x:v>38641</x:v>
      </x:c>
      <x:c r="H1661" s="6">
        <x:v>183.57</x:v>
      </x:c>
      <x:c r="I1661" s="16">
        <x:v>1</x:v>
      </x:c>
      <x:c r="J1661"/>
      <x:c r="K1661" s="4"/>
      <x:c r="L1661" s="4"/>
      <x:c r="M1661" s="4"/>
      <x:c r="N1661" s="5"/>
    </x:row>
    <x:row r="1662" ht="24" customHeight="1">
      <x:c r="A1662" s="1" t="inlineStr">
        <x:is>
          <x:t xml:space="preserve">RESULT</x:t>
        </x:is>
      </x:c>
      <x:c r="B1662" s="1" t="inlineStr">
        <x:is>
          <x:t xml:space="preserve">Round2</x:t>
        </x:is>
      </x:c>
      <x:c r="C1662" s="1" t="inlineStr">
        <x:is>
          <x:t xml:space="preserve">Mockito_28</x:t>
        </x:is>
      </x:c>
      <x:c r="D1662" s="1" t="inlineStr">
        <x:is>
          <x:t xml:space="preserve">NOT_REVEALING</x:t>
        </x:is>
      </x:c>
      <x:c r="E1662" s="5">
        <x:v>0.9333</x:v>
      </x:c>
      <x:c r="F1662" s="4">
        <x:v>0</x:v>
      </x:c>
      <x:c r="G1662" s="4">
        <x:v>22293</x:v>
      </x:c>
      <x:c r="H1662" s="6">
        <x:v>840.12</x:v>
      </x:c>
      <x:c r="I1662" s="16">
        <x:v>1</x:v>
      </x:c>
      <x:c r="J1662">
        <x:v>30</x:v>
      </x:c>
      <x:c r="K1662" s="4">
        <x:v>28</x:v>
      </x:c>
      <x:c r="L1662" s="4">
        <x:v>10</x:v>
      </x:c>
      <x:c r="M1662" s="4">
        <x:v>8</x:v>
      </x:c>
      <x:c r="N1662" s="5">
        <x:v>0.8</x:v>
      </x:c>
    </x:row>
    <x:row r="1663" ht="24" customHeight="1">
      <x:c r="A1663" s="1" t="inlineStr">
        <x:is>
          <x:t xml:space="preserve">RESULT</x:t>
        </x:is>
      </x:c>
      <x:c r="B1663" s="1" t="inlineStr">
        <x:is>
          <x:t xml:space="preserve">Round2</x:t>
        </x:is>
      </x:c>
      <x:c r="C1663" s="1" t="inlineStr">
        <x:is>
          <x:t xml:space="preserve">Mockito_29</x:t>
        </x:is>
      </x:c>
      <x:c r="D1663" s="1" t="inlineStr">
        <x:is>
          <x:t xml:space="preserve">NOT_AVAILABLE</x:t>
        </x:is>
      </x:c>
      <x:c r="E1663" s="5"/>
      <x:c r="F1663" s="4">
        <x:v>0</x:v>
      </x:c>
      <x:c r="G1663" s="4">
        <x:v>2295</x:v>
      </x:c>
      <x:c r="H1663" s="6">
        <x:v>16.39</x:v>
      </x:c>
      <x:c r="I1663" s="16">
        <x:v>1</x:v>
      </x:c>
      <x:c r="J1663"/>
      <x:c r="K1663" s="4"/>
      <x:c r="L1663" s="4"/>
      <x:c r="M1663" s="4"/>
      <x:c r="N1663" s="5"/>
    </x:row>
    <x:row r="1664" ht="24" customHeight="1">
      <x:c r="A1664" s="1" t="inlineStr">
        <x:is>
          <x:t xml:space="preserve">RESULT</x:t>
        </x:is>
      </x:c>
      <x:c r="B1664" s="1" t="inlineStr">
        <x:is>
          <x:t xml:space="preserve">Round2</x:t>
        </x:is>
      </x:c>
      <x:c r="C1664" s="1" t="inlineStr">
        <x:is>
          <x:t xml:space="preserve">Mockito_3</x:t>
        </x:is>
      </x:c>
      <x:c r="D1664" s="1" t="inlineStr">
        <x:is>
          <x:t xml:space="preserve">NOT_AVAILABLE</x:t>
        </x:is>
      </x:c>
      <x:c r="E1664" s="5"/>
      <x:c r="F1664" s="4">
        <x:v>0</x:v>
      </x:c>
      <x:c r="G1664" s="4">
        <x:v>11519</x:v>
      </x:c>
      <x:c r="H1664" s="6">
        <x:v>83.38</x:v>
      </x:c>
      <x:c r="I1664" s="16">
        <x:v>1</x:v>
      </x:c>
      <x:c r="J1664"/>
      <x:c r="K1664" s="4"/>
      <x:c r="L1664" s="4"/>
      <x:c r="M1664" s="4"/>
      <x:c r="N1664" s="5"/>
    </x:row>
    <x:row r="1665" ht="24" customHeight="1">
      <x:c r="A1665" s="1" t="inlineStr">
        <x:is>
          <x:t xml:space="preserve">RESULT</x:t>
        </x:is>
      </x:c>
      <x:c r="B1665" s="1" t="inlineStr">
        <x:is>
          <x:t xml:space="preserve">Round2</x:t>
        </x:is>
      </x:c>
      <x:c r="C1665" s="1" t="inlineStr">
        <x:is>
          <x:t xml:space="preserve">Mockito_30</x:t>
        </x:is>
      </x:c>
      <x:c r="D1665" s="1" t="inlineStr">
        <x:is>
          <x:t xml:space="preserve">NOT_AVAILABLE</x:t>
        </x:is>
      </x:c>
      <x:c r="E1665" s="5">
        <x:v>0.7768</x:v>
      </x:c>
      <x:c r="F1665" s="4">
        <x:v>0</x:v>
      </x:c>
      <x:c r="G1665" s="4">
        <x:v>62928</x:v>
      </x:c>
      <x:c r="H1665" s="6">
        <x:v>279.8</x:v>
      </x:c>
      <x:c r="I1665" s="16">
        <x:v>1</x:v>
      </x:c>
      <x:c r="J1665">
        <x:v>112</x:v>
      </x:c>
      <x:c r="K1665" s="4">
        <x:v>87</x:v>
      </x:c>
      <x:c r="L1665" s="4">
        <x:v>14</x:v>
      </x:c>
      <x:c r="M1665" s="4">
        <x:v>11</x:v>
      </x:c>
      <x:c r="N1665" s="5">
        <x:v>0.7857</x:v>
      </x:c>
    </x:row>
    <x:row r="1666" ht="24" customHeight="1">
      <x:c r="A1666" s="1" t="inlineStr">
        <x:is>
          <x:t xml:space="preserve">RESULT</x:t>
        </x:is>
      </x:c>
      <x:c r="B1666" s="1" t="inlineStr">
        <x:is>
          <x:t xml:space="preserve">Round2</x:t>
        </x:is>
      </x:c>
      <x:c r="C1666" s="1" t="inlineStr">
        <x:is>
          <x:t xml:space="preserve">Mockito_31</x:t>
        </x:is>
      </x:c>
      <x:c r="D1666" s="1" t="inlineStr">
        <x:is>
          <x:t xml:space="preserve">NOT_REVEALING</x:t>
        </x:is>
      </x:c>
      <x:c r="E1666" s="5">
        <x:v>0.9473999999999999</x:v>
      </x:c>
      <x:c r="F1666" s="4">
        <x:v>0</x:v>
      </x:c>
      <x:c r="G1666" s="4">
        <x:v>29028</x:v>
      </x:c>
      <x:c r="H1666" s="6">
        <x:v>1174.2</x:v>
      </x:c>
      <x:c r="I1666" s="16">
        <x:v>1</x:v>
      </x:c>
      <x:c r="J1666">
        <x:v>19</x:v>
      </x:c>
      <x:c r="K1666" s="4">
        <x:v>18</x:v>
      </x:c>
      <x:c r="L1666" s="4">
        <x:v>6</x:v>
      </x:c>
      <x:c r="M1666" s="4">
        <x:v>6</x:v>
      </x:c>
      <x:c r="N1666" s="5">
        <x:v>1.0</x:v>
      </x:c>
    </x:row>
    <x:row r="1667" ht="24" customHeight="1">
      <x:c r="A1667" s="1" t="inlineStr">
        <x:is>
          <x:t xml:space="preserve">RESULT</x:t>
        </x:is>
      </x:c>
      <x:c r="B1667" s="1" t="inlineStr">
        <x:is>
          <x:t xml:space="preserve">Round2</x:t>
        </x:is>
      </x:c>
      <x:c r="C1667" s="1" t="inlineStr">
        <x:is>
          <x:t xml:space="preserve">Mockito_32</x:t>
        </x:is>
      </x:c>
      <x:c r="D1667" s="1" t="inlineStr">
        <x:is>
          <x:t xml:space="preserve">INCONCLUSIVE</x:t>
        </x:is>
      </x:c>
      <x:c r="E1667" s="5">
        <x:v>0.8695999999999999</x:v>
      </x:c>
      <x:c r="F1667" s="4">
        <x:v>0</x:v>
      </x:c>
      <x:c r="G1667" s="4">
        <x:v>6014</x:v>
      </x:c>
      <x:c r="H1667" s="6">
        <x:v>46.74</x:v>
      </x:c>
      <x:c r="I1667" s="16">
        <x:v>1</x:v>
      </x:c>
      <x:c r="J1667">
        <x:v>23</x:v>
      </x:c>
      <x:c r="K1667" s="4">
        <x:v>20</x:v>
      </x:c>
      <x:c r="L1667" s="4">
        <x:v>12</x:v>
      </x:c>
      <x:c r="M1667" s="4">
        <x:v>12</x:v>
      </x:c>
      <x:c r="N1667" s="5">
        <x:v>1.0</x:v>
      </x:c>
    </x:row>
    <x:row r="1668" ht="24" customHeight="1">
      <x:c r="A1668" s="1" t="inlineStr">
        <x:is>
          <x:t xml:space="preserve">RESULT</x:t>
        </x:is>
      </x:c>
      <x:c r="B1668" s="1" t="inlineStr">
        <x:is>
          <x:t xml:space="preserve">Round2</x:t>
        </x:is>
      </x:c>
      <x:c r="C1668" s="1" t="inlineStr">
        <x:is>
          <x:t xml:space="preserve">Mockito_33</x:t>
        </x:is>
      </x:c>
      <x:c r="D1668" s="1" t="inlineStr">
        <x:is>
          <x:t xml:space="preserve">NOT_AVAILABLE</x:t>
        </x:is>
      </x:c>
      <x:c r="E1668" s="5"/>
      <x:c r="F1668" s="4">
        <x:v>0</x:v>
      </x:c>
      <x:c r="G1668" s="4">
        <x:v>23449</x:v>
      </x:c>
      <x:c r="H1668" s="6">
        <x:v>287.79</x:v>
      </x:c>
      <x:c r="I1668" s="16">
        <x:v>1</x:v>
      </x:c>
      <x:c r="J1668"/>
      <x:c r="K1668" s="4"/>
      <x:c r="L1668" s="4"/>
      <x:c r="M1668" s="4"/>
      <x:c r="N1668" s="5"/>
    </x:row>
    <x:row r="1669" ht="24" customHeight="1">
      <x:c r="A1669" s="1" t="inlineStr">
        <x:is>
          <x:t xml:space="preserve">RESULT</x:t>
        </x:is>
      </x:c>
      <x:c r="B1669" s="1" t="inlineStr">
        <x:is>
          <x:t xml:space="preserve">Round2</x:t>
        </x:is>
      </x:c>
      <x:c r="C1669" s="1" t="inlineStr">
        <x:is>
          <x:t xml:space="preserve">Mockito_34</x:t>
        </x:is>
      </x:c>
      <x:c r="D1669" s="1" t="inlineStr">
        <x:is>
          <x:t xml:space="preserve">NOT_AVAILABLE</x:t>
        </x:is>
      </x:c>
      <x:c r="E1669" s="5"/>
      <x:c r="F1669" s="4">
        <x:v>0</x:v>
      </x:c>
      <x:c r="G1669" s="4">
        <x:v>4266</x:v>
      </x:c>
      <x:c r="H1669" s="6">
        <x:v>142.63</x:v>
      </x:c>
      <x:c r="I1669" s="16">
        <x:v>1</x:v>
      </x:c>
      <x:c r="J1669"/>
      <x:c r="K1669" s="4"/>
      <x:c r="L1669" s="4"/>
      <x:c r="M1669" s="4"/>
      <x:c r="N1669" s="5"/>
    </x:row>
    <x:row r="1670" ht="24" customHeight="1">
      <x:c r="A1670" s="1" t="inlineStr">
        <x:is>
          <x:t xml:space="preserve">RESULT</x:t>
        </x:is>
      </x:c>
      <x:c r="B1670" s="1" t="inlineStr">
        <x:is>
          <x:t xml:space="preserve">Round2</x:t>
        </x:is>
      </x:c>
      <x:c r="C1670" s="1" t="inlineStr">
        <x:is>
          <x:t xml:space="preserve">Mockito_35</x:t>
        </x:is>
      </x:c>
      <x:c r="D1670" s="1" t="inlineStr">
        <x:is>
          <x:t xml:space="preserve">INCONCLUSIVE</x:t>
        </x:is>
      </x:c>
      <x:c r="E1670" s="5">
        <x:v>0.9804</x:v>
      </x:c>
      <x:c r="F1670" s="4">
        <x:v>0</x:v>
      </x:c>
      <x:c r="G1670" s="4">
        <x:v>24052</x:v>
      </x:c>
      <x:c r="H1670" s="6">
        <x:v>84.17</x:v>
      </x:c>
      <x:c r="I1670" s="16">
        <x:v>1</x:v>
      </x:c>
      <x:c r="J1670">
        <x:v>51</x:v>
      </x:c>
      <x:c r="K1670" s="4">
        <x:v>50</x:v>
      </x:c>
      <x:c r="L1670" s="4">
        <x:v>0</x:v>
      </x:c>
      <x:c r="M1670" s="4">
        <x:v>0</x:v>
      </x:c>
      <x:c r="N1670" s="5"/>
    </x:row>
    <x:row r="1671" ht="24" customHeight="1">
      <x:c r="A1671" s="1" t="inlineStr">
        <x:is>
          <x:t xml:space="preserve">RESULT</x:t>
        </x:is>
      </x:c>
      <x:c r="B1671" s="1" t="inlineStr">
        <x:is>
          <x:t xml:space="preserve">Round2</x:t>
        </x:is>
      </x:c>
      <x:c r="C1671" s="1" t="inlineStr">
        <x:is>
          <x:t xml:space="preserve">Mockito_36</x:t>
        </x:is>
      </x:c>
      <x:c r="D1671" s="1" t="inlineStr">
        <x:is>
          <x:t xml:space="preserve">NOT_AVAILABLE</x:t>
        </x:is>
      </x:c>
      <x:c r="E1671" s="5"/>
      <x:c r="F1671" s="4">
        <x:v>0</x:v>
      </x:c>
      <x:c r="G1671" s="4">
        <x:v>11243</x:v>
      </x:c>
      <x:c r="H1671" s="6">
        <x:v>63.48</x:v>
      </x:c>
      <x:c r="I1671" s="16">
        <x:v>1</x:v>
      </x:c>
      <x:c r="J1671"/>
      <x:c r="K1671" s="4"/>
      <x:c r="L1671" s="4"/>
      <x:c r="M1671" s="4"/>
      <x:c r="N1671" s="5"/>
    </x:row>
    <x:row r="1672" ht="24" customHeight="1">
      <x:c r="A1672" s="1" t="inlineStr">
        <x:is>
          <x:t xml:space="preserve">RESULT</x:t>
        </x:is>
      </x:c>
      <x:c r="B1672" s="1" t="inlineStr">
        <x:is>
          <x:t xml:space="preserve">Round2</x:t>
        </x:is>
      </x:c>
      <x:c r="C1672" s="1" t="inlineStr">
        <x:is>
          <x:t xml:space="preserve">Mockito_37</x:t>
        </x:is>
      </x:c>
      <x:c r="D1672" s="1" t="inlineStr">
        <x:is>
          <x:t xml:space="preserve">INCONCLUSIVE</x:t>
        </x:is>
      </x:c>
      <x:c r="E1672" s="5">
        <x:v>1.0</x:v>
      </x:c>
      <x:c r="F1672" s="4">
        <x:v>0</x:v>
      </x:c>
      <x:c r="G1672" s="4"/>
      <x:c r="H1672" s="6"/>
      <x:c r="I1672" s="16">
        <x:v>1</x:v>
      </x:c>
      <x:c r="J1672">
        <x:v>27</x:v>
      </x:c>
      <x:c r="K1672" s="4">
        <x:v>27</x:v>
      </x:c>
      <x:c r="L1672" s="4">
        <x:v>26</x:v>
      </x:c>
      <x:c r="M1672" s="4">
        <x:v>25</x:v>
      </x:c>
      <x:c r="N1672" s="5">
        <x:v>0.9615</x:v>
      </x:c>
    </x:row>
    <x:row r="1673" ht="24" customHeight="1">
      <x:c r="A1673" s="1" t="inlineStr">
        <x:is>
          <x:t xml:space="preserve">RESULT</x:t>
        </x:is>
      </x:c>
      <x:c r="B1673" s="1" t="inlineStr">
        <x:is>
          <x:t xml:space="preserve">Round2</x:t>
        </x:is>
      </x:c>
      <x:c r="C1673" s="1" t="inlineStr">
        <x:is>
          <x:t xml:space="preserve">Mockito_38</x:t>
        </x:is>
      </x:c>
      <x:c r="D1673" s="1" t="inlineStr">
        <x:is>
          <x:t xml:space="preserve">NOT_AVAILABLE</x:t>
        </x:is>
      </x:c>
      <x:c r="E1673" s="5"/>
      <x:c r="F1673" s="4">
        <x:v>0</x:v>
      </x:c>
      <x:c r="G1673" s="4">
        <x:v>17049</x:v>
      </x:c>
      <x:c r="H1673" s="6">
        <x:v>349.94</x:v>
      </x:c>
      <x:c r="I1673" s="16">
        <x:v>1</x:v>
      </x:c>
      <x:c r="J1673"/>
      <x:c r="K1673" s="4"/>
      <x:c r="L1673" s="4"/>
      <x:c r="M1673" s="4"/>
      <x:c r="N1673" s="5"/>
    </x:row>
    <x:row r="1674" ht="24" customHeight="1">
      <x:c r="A1674" s="1" t="inlineStr">
        <x:is>
          <x:t xml:space="preserve">RESULT</x:t>
        </x:is>
      </x:c>
      <x:c r="B1674" s="1" t="inlineStr">
        <x:is>
          <x:t xml:space="preserve">Round2</x:t>
        </x:is>
      </x:c>
      <x:c r="C1674" s="1" t="inlineStr">
        <x:is>
          <x:t xml:space="preserve">Mockito_4</x:t>
        </x:is>
      </x:c>
      <x:c r="D1674" s="1" t="inlineStr">
        <x:is>
          <x:t xml:space="preserve">NOT_AVAILABLE</x:t>
        </x:is>
      </x:c>
      <x:c r="E1674" s="5"/>
      <x:c r="F1674" s="4">
        <x:v>0</x:v>
      </x:c>
      <x:c r="G1674" s="4">
        <x:v>30024</x:v>
      </x:c>
      <x:c r="H1674" s="6">
        <x:v>138.08</x:v>
      </x:c>
      <x:c r="I1674" s="16">
        <x:v>1</x:v>
      </x:c>
      <x:c r="J1674"/>
      <x:c r="K1674" s="4"/>
      <x:c r="L1674" s="4"/>
      <x:c r="M1674" s="4"/>
      <x:c r="N1674" s="5"/>
    </x:row>
    <x:row r="1675" ht="24" customHeight="1">
      <x:c r="A1675" s="1" t="inlineStr">
        <x:is>
          <x:t xml:space="preserve">RESULT</x:t>
        </x:is>
      </x:c>
      <x:c r="B1675" s="1" t="inlineStr">
        <x:is>
          <x:t xml:space="preserve">Round2</x:t>
        </x:is>
      </x:c>
      <x:c r="C1675" s="1" t="inlineStr">
        <x:is>
          <x:t xml:space="preserve">Mockito_5</x:t>
        </x:is>
      </x:c>
      <x:c r="D1675" s="1" t="inlineStr">
        <x:is>
          <x:t xml:space="preserve">NOT_AVAILABLE</x:t>
        </x:is>
      </x:c>
      <x:c r="E1675" s="5"/>
      <x:c r="F1675" s="4">
        <x:v>0</x:v>
      </x:c>
      <x:c r="G1675" s="4">
        <x:v>6854</x:v>
      </x:c>
      <x:c r="H1675" s="6">
        <x:v>60.64</x:v>
      </x:c>
      <x:c r="I1675" s="16">
        <x:v>1</x:v>
      </x:c>
      <x:c r="J1675"/>
      <x:c r="K1675" s="4"/>
      <x:c r="L1675" s="4"/>
      <x:c r="M1675" s="4"/>
      <x:c r="N1675" s="5"/>
    </x:row>
    <x:row r="1676" ht="24" customHeight="1">
      <x:c r="A1676" s="1" t="inlineStr">
        <x:is>
          <x:t xml:space="preserve">RESULT</x:t>
        </x:is>
      </x:c>
      <x:c r="B1676" s="1" t="inlineStr">
        <x:is>
          <x:t xml:space="preserve">Round2</x:t>
        </x:is>
      </x:c>
      <x:c r="C1676" s="1" t="inlineStr">
        <x:is>
          <x:t xml:space="preserve">Mockito_6</x:t>
        </x:is>
      </x:c>
      <x:c r="D1676" s="1" t="inlineStr">
        <x:is>
          <x:t xml:space="preserve">INCONCLUSIVE</x:t>
        </x:is>
      </x:c>
      <x:c r="E1676" s="5">
        <x:v>0.9818000000000001</x:v>
      </x:c>
      <x:c r="F1676" s="4">
        <x:v>0</x:v>
      </x:c>
      <x:c r="G1676" s="4"/>
      <x:c r="H1676" s="6"/>
      <x:c r="I1676" s="16">
        <x:v>1</x:v>
      </x:c>
      <x:c r="J1676">
        <x:v>55</x:v>
      </x:c>
      <x:c r="K1676" s="4">
        <x:v>54</x:v>
      </x:c>
      <x:c r="L1676" s="4">
        <x:v>0</x:v>
      </x:c>
      <x:c r="M1676" s="4">
        <x:v>0</x:v>
      </x:c>
      <x:c r="N1676" s="5"/>
    </x:row>
    <x:row r="1677" ht="24" customHeight="1">
      <x:c r="A1677" s="1" t="inlineStr">
        <x:is>
          <x:t xml:space="preserve">RESULT</x:t>
        </x:is>
      </x:c>
      <x:c r="B1677" s="1" t="inlineStr">
        <x:is>
          <x:t xml:space="preserve">Round2</x:t>
        </x:is>
      </x:c>
      <x:c r="C1677" s="1" t="inlineStr">
        <x:is>
          <x:t xml:space="preserve">Mockito_7</x:t>
        </x:is>
      </x:c>
      <x:c r="D1677" s="1" t="inlineStr">
        <x:is>
          <x:t xml:space="preserve">INCONCLUSIVE</x:t>
        </x:is>
      </x:c>
      <x:c r="E1677" s="5">
        <x:v>0.6437</x:v>
      </x:c>
      <x:c r="F1677" s="4">
        <x:v>0</x:v>
      </x:c>
      <x:c r="G1677" s="4"/>
      <x:c r="H1677" s="6"/>
      <x:c r="I1677" s="16">
        <x:v>1</x:v>
      </x:c>
      <x:c r="J1677">
        <x:v>174</x:v>
      </x:c>
      <x:c r="K1677" s="4">
        <x:v>112</x:v>
      </x:c>
      <x:c r="L1677" s="4">
        <x:v>82</x:v>
      </x:c>
      <x:c r="M1677" s="4">
        <x:v>39</x:v>
      </x:c>
      <x:c r="N1677" s="5">
        <x:v>0.4756</x:v>
      </x:c>
    </x:row>
    <x:row r="1678" ht="24" customHeight="1">
      <x:c r="A1678" s="1" t="inlineStr">
        <x:is>
          <x:t xml:space="preserve">RESULT</x:t>
        </x:is>
      </x:c>
      <x:c r="B1678" s="1" t="inlineStr">
        <x:is>
          <x:t xml:space="preserve">Round2</x:t>
        </x:is>
      </x:c>
      <x:c r="C1678" s="1" t="inlineStr">
        <x:is>
          <x:t xml:space="preserve">Mockito_8</x:t>
        </x:is>
      </x:c>
      <x:c r="D1678" s="1" t="inlineStr">
        <x:is>
          <x:t xml:space="preserve">INCONCLUSIVE</x:t>
        </x:is>
      </x:c>
      <x:c r="E1678" s="5">
        <x:v>0.5722999999999999</x:v>
      </x:c>
      <x:c r="F1678" s="4">
        <x:v>0</x:v>
      </x:c>
      <x:c r="G1678" s="4"/>
      <x:c r="H1678" s="6"/>
      <x:c r="I1678" s="16">
        <x:v>1</x:v>
      </x:c>
      <x:c r="J1678">
        <x:v>173</x:v>
      </x:c>
      <x:c r="K1678" s="4">
        <x:v>99</x:v>
      </x:c>
      <x:c r="L1678" s="4">
        <x:v>80</x:v>
      </x:c>
      <x:c r="M1678" s="4">
        <x:v>37</x:v>
      </x:c>
      <x:c r="N1678" s="5">
        <x:v>0.4625</x:v>
      </x:c>
    </x:row>
    <x:row r="1679" ht="24" customHeight="1">
      <x:c r="A1679" s="1" t="inlineStr">
        <x:is>
          <x:t xml:space="preserve">RESULT</x:t>
        </x:is>
      </x:c>
      <x:c r="B1679" s="1" t="inlineStr">
        <x:is>
          <x:t xml:space="preserve">Round2</x:t>
        </x:is>
      </x:c>
      <x:c r="C1679" s="1" t="inlineStr">
        <x:is>
          <x:t xml:space="preserve">Mockito_9</x:t>
        </x:is>
      </x:c>
      <x:c r="D1679" s="1" t="inlineStr">
        <x:is>
          <x:t xml:space="preserve">INCONCLUSIVE</x:t>
        </x:is>
      </x:c>
      <x:c r="E1679" s="5">
        <x:v>1.0</x:v>
      </x:c>
      <x:c r="F1679" s="4">
        <x:v>0</x:v>
      </x:c>
      <x:c r="G1679" s="4"/>
      <x:c r="H1679" s="6"/>
      <x:c r="I1679" s="16">
        <x:v>1</x:v>
      </x:c>
      <x:c r="J1679">
        <x:v>2</x:v>
      </x:c>
      <x:c r="K1679" s="4">
        <x:v>2</x:v>
      </x:c>
      <x:c r="L1679" s="4">
        <x:v>0</x:v>
      </x:c>
      <x:c r="M1679" s="4">
        <x:v>0</x:v>
      </x:c>
      <x:c r="N1679" s="5"/>
    </x:row>
    <x:row r="1680" ht="24" customHeight="1">
      <x:c r="A1680" s="1" t="inlineStr">
        <x:is>
          <x:t xml:space="preserve">RESULT</x:t>
        </x:is>
      </x:c>
      <x:c r="B1680" s="1" t="inlineStr">
        <x:is>
          <x:t xml:space="preserve">Round2</x:t>
        </x:is>
      </x:c>
      <x:c r="C1680" s="1" t="inlineStr">
        <x:is>
          <x:t xml:space="preserve">Time_1</x:t>
        </x:is>
      </x:c>
      <x:c r="D1680" s="1" t="inlineStr">
        <x:is>
          <x:t xml:space="preserve">NOT_AVAILABLE</x:t>
        </x:is>
      </x:c>
      <x:c r="E1680" s="5"/>
      <x:c r="F1680" s="4">
        <x:v>0</x:v>
      </x:c>
      <x:c r="G1680" s="4">
        <x:v>39918</x:v>
      </x:c>
      <x:c r="H1680" s="6">
        <x:v>1369.87</x:v>
      </x:c>
      <x:c r="I1680" s="16">
        <x:v>1</x:v>
      </x:c>
      <x:c r="J1680"/>
      <x:c r="K1680" s="4"/>
      <x:c r="L1680" s="4"/>
      <x:c r="M1680" s="4"/>
      <x:c r="N1680" s="5"/>
    </x:row>
    <x:row r="1681" ht="24" customHeight="1">
      <x:c r="A1681" s="1" t="inlineStr">
        <x:is>
          <x:t xml:space="preserve">RESULT</x:t>
        </x:is>
      </x:c>
      <x:c r="B1681" s="1" t="inlineStr">
        <x:is>
          <x:t xml:space="preserve">Round2</x:t>
        </x:is>
      </x:c>
      <x:c r="C1681" s="1" t="inlineStr">
        <x:is>
          <x:t xml:space="preserve">Time_10</x:t>
        </x:is>
      </x:c>
      <x:c r="D1681" s="1" t="inlineStr">
        <x:is>
          <x:t xml:space="preserve">NOT_REVEALING</x:t>
        </x:is>
      </x:c>
      <x:c r="E1681" s="5">
        <x:v>0.9296</x:v>
      </x:c>
      <x:c r="F1681" s="4">
        <x:v>0</x:v>
      </x:c>
      <x:c r="G1681" s="4">
        <x:v>28792</x:v>
      </x:c>
      <x:c r="H1681" s="6">
        <x:v>1153.95</x:v>
      </x:c>
      <x:c r="I1681" s="16">
        <x:v>1</x:v>
      </x:c>
      <x:c r="J1681">
        <x:v>71</x:v>
      </x:c>
      <x:c r="K1681" s="4">
        <x:v>66</x:v>
      </x:c>
      <x:c r="L1681" s="4">
        <x:v>46</x:v>
      </x:c>
      <x:c r="M1681" s="4">
        <x:v>42</x:v>
      </x:c>
      <x:c r="N1681" s="5">
        <x:v>0.9129999999999999</x:v>
      </x:c>
    </x:row>
    <x:row r="1682" ht="24" customHeight="1">
      <x:c r="A1682" s="1" t="inlineStr">
        <x:is>
          <x:t xml:space="preserve">RESULT</x:t>
        </x:is>
      </x:c>
      <x:c r="B1682" s="1" t="inlineStr">
        <x:is>
          <x:t xml:space="preserve">Round2</x:t>
        </x:is>
      </x:c>
      <x:c r="C1682" s="1" t="inlineStr">
        <x:is>
          <x:t xml:space="preserve">Time_11</x:t>
        </x:is>
      </x:c>
      <x:c r="D1682" s="1" t="inlineStr">
        <x:is>
          <x:t xml:space="preserve">INCONCLUSIVE</x:t>
        </x:is>
      </x:c>
      <x:c r="E1682" s="5">
        <x:v>0.1628</x:v>
      </x:c>
      <x:c r="F1682" s="4">
        <x:v>0</x:v>
      </x:c>
      <x:c r="G1682" s="4">
        <x:v>32382</x:v>
      </x:c>
      <x:c r="H1682" s="6">
        <x:v>1223.18</x:v>
      </x:c>
      <x:c r="I1682" s="16">
        <x:v>1</x:v>
      </x:c>
      <x:c r="J1682">
        <x:v>393</x:v>
      </x:c>
      <x:c r="K1682" s="4">
        <x:v>64</x:v>
      </x:c>
      <x:c r="L1682" s="4">
        <x:v>193</x:v>
      </x:c>
      <x:c r="M1682" s="4">
        <x:v>34</x:v>
      </x:c>
      <x:c r="N1682" s="5">
        <x:v>0.17620000000000002</x:v>
      </x:c>
    </x:row>
    <x:row r="1683" ht="24" customHeight="1">
      <x:c r="A1683" s="1" t="inlineStr">
        <x:is>
          <x:t xml:space="preserve">RESULT</x:t>
        </x:is>
      </x:c>
      <x:c r="B1683" s="1" t="inlineStr">
        <x:is>
          <x:t xml:space="preserve">Round2</x:t>
        </x:is>
      </x:c>
      <x:c r="C1683" s="1" t="inlineStr">
        <x:is>
          <x:t xml:space="preserve">Time_12</x:t>
        </x:is>
      </x:c>
      <x:c r="D1683" s="1" t="inlineStr">
        <x:is>
          <x:t xml:space="preserve">NOT_AVAILABLE</x:t>
        </x:is>
      </x:c>
      <x:c r="E1683" s="5"/>
      <x:c r="F1683" s="4">
        <x:v>0</x:v>
      </x:c>
      <x:c r="G1683" s="4">
        <x:v>53899</x:v>
      </x:c>
      <x:c r="H1683" s="6">
        <x:v>1571.04</x:v>
      </x:c>
      <x:c r="I1683" s="16">
        <x:v>1</x:v>
      </x:c>
      <x:c r="J1683"/>
      <x:c r="K1683" s="4"/>
      <x:c r="L1683" s="4"/>
      <x:c r="M1683" s="4"/>
      <x:c r="N1683" s="5"/>
    </x:row>
    <x:row r="1684" ht="24" customHeight="1">
      <x:c r="A1684" s="1" t="inlineStr">
        <x:is>
          <x:t xml:space="preserve">RESULT</x:t>
        </x:is>
      </x:c>
      <x:c r="B1684" s="1" t="inlineStr">
        <x:is>
          <x:t xml:space="preserve">Round2</x:t>
        </x:is>
      </x:c>
      <x:c r="C1684" s="1" t="inlineStr">
        <x:is>
          <x:t xml:space="preserve">Time_13</x:t>
        </x:is>
      </x:c>
      <x:c r="D1684" s="1" t="inlineStr">
        <x:is>
          <x:t xml:space="preserve">INCONCLUSIVE</x:t>
        </x:is>
      </x:c>
      <x:c r="E1684" s="5">
        <x:v>0.3274</x:v>
      </x:c>
      <x:c r="F1684" s="4">
        <x:v>0</x:v>
      </x:c>
      <x:c r="G1684" s="4"/>
      <x:c r="H1684" s="6"/>
      <x:c r="I1684" s="16">
        <x:v>1</x:v>
      </x:c>
      <x:c r="J1684">
        <x:v>672</x:v>
      </x:c>
      <x:c r="K1684" s="4">
        <x:v>220</x:v>
      </x:c>
      <x:c r="L1684" s="4">
        <x:v>452</x:v>
      </x:c>
      <x:c r="M1684" s="4">
        <x:v>61</x:v>
      </x:c>
      <x:c r="N1684" s="5">
        <x:v>0.135</x:v>
      </x:c>
    </x:row>
    <x:row r="1685" ht="24" customHeight="1">
      <x:c r="A1685" s="1" t="inlineStr">
        <x:is>
          <x:t xml:space="preserve">RESULT</x:t>
        </x:is>
      </x:c>
      <x:c r="B1685" s="1" t="inlineStr">
        <x:is>
          <x:t xml:space="preserve">Round2</x:t>
        </x:is>
      </x:c>
      <x:c r="C1685" s="1" t="inlineStr">
        <x:is>
          <x:t xml:space="preserve">Time_14</x:t>
        </x:is>
      </x:c>
      <x:c r="D1685" s="1" t="inlineStr">
        <x:is>
          <x:t xml:space="preserve">NOT_REVEALING</x:t>
        </x:is>
      </x:c>
      <x:c r="E1685" s="5">
        <x:v>0.7368000000000001</x:v>
      </x:c>
      <x:c r="F1685" s="4">
        <x:v>0</x:v>
      </x:c>
      <x:c r="G1685" s="4">
        <x:v>28833</x:v>
      </x:c>
      <x:c r="H1685" s="6">
        <x:v>1119.23</x:v>
      </x:c>
      <x:c r="I1685" s="16">
        <x:v>1</x:v>
      </x:c>
      <x:c r="J1685">
        <x:v>114</x:v>
      </x:c>
      <x:c r="K1685" s="4">
        <x:v>84</x:v>
      </x:c>
      <x:c r="L1685" s="4">
        <x:v>46</x:v>
      </x:c>
      <x:c r="M1685" s="4">
        <x:v>30</x:v>
      </x:c>
      <x:c r="N1685" s="5">
        <x:v>0.6522</x:v>
      </x:c>
    </x:row>
    <x:row r="1686" ht="24" customHeight="1">
      <x:c r="A1686" s="1" t="inlineStr">
        <x:is>
          <x:t xml:space="preserve">RESULT</x:t>
        </x:is>
      </x:c>
      <x:c r="B1686" s="1" t="inlineStr">
        <x:is>
          <x:t xml:space="preserve">Round2</x:t>
        </x:is>
      </x:c>
      <x:c r="C1686" s="1" t="inlineStr">
        <x:is>
          <x:t xml:space="preserve">Time_15</x:t>
        </x:is>
      </x:c>
      <x:c r="D1686" s="1" t="inlineStr">
        <x:is>
          <x:t xml:space="preserve">INCONCLUSIVE</x:t>
        </x:is>
      </x:c>
      <x:c r="E1686" s="5">
        <x:v>0.7467</x:v>
      </x:c>
      <x:c r="F1686" s="4">
        <x:v>0</x:v>
      </x:c>
      <x:c r="G1686" s="4">
        <x:v>30106</x:v>
      </x:c>
      <x:c r="H1686" s="6">
        <x:v>1190.48</x:v>
      </x:c>
      <x:c r="I1686" s="16">
        <x:v>1</x:v>
      </x:c>
      <x:c r="J1686">
        <x:v>75</x:v>
      </x:c>
      <x:c r="K1686" s="4">
        <x:v>56</x:v>
      </x:c>
      <x:c r="L1686" s="4">
        <x:v>70</x:v>
      </x:c>
      <x:c r="M1686" s="4">
        <x:v>46</x:v>
      </x:c>
      <x:c r="N1686" s="5">
        <x:v>0.6570999999999999</x:v>
      </x:c>
    </x:row>
    <x:row r="1687" ht="24" customHeight="1">
      <x:c r="A1687" s="1" t="inlineStr">
        <x:is>
          <x:t xml:space="preserve">RESULT</x:t>
        </x:is>
      </x:c>
      <x:c r="B1687" s="1" t="inlineStr">
        <x:is>
          <x:t xml:space="preserve">Round2</x:t>
        </x:is>
      </x:c>
      <x:c r="C1687" s="1" t="inlineStr">
        <x:is>
          <x:t xml:space="preserve">Time_16</x:t>
        </x:is>
      </x:c>
      <x:c r="D1687" s="1" t="inlineStr">
        <x:is>
          <x:t xml:space="preserve">INCONCLUSIVE</x:t>
        </x:is>
      </x:c>
      <x:c r="E1687" s="5">
        <x:v>0.715</x:v>
      </x:c>
      <x:c r="F1687" s="4">
        <x:v>0</x:v>
      </x:c>
      <x:c r="G1687" s="4">
        <x:v>32710</x:v>
      </x:c>
      <x:c r="H1687" s="6">
        <x:v>1304.85</x:v>
      </x:c>
      <x:c r="I1687" s="16">
        <x:v>1</x:v>
      </x:c>
      <x:c r="J1687">
        <x:v>207</x:v>
      </x:c>
      <x:c r="K1687" s="4">
        <x:v>148</x:v>
      </x:c>
      <x:c r="L1687" s="4">
        <x:v>88</x:v>
      </x:c>
      <x:c r="M1687" s="4">
        <x:v>50</x:v>
      </x:c>
      <x:c r="N1687" s="5">
        <x:v>0.5682</x:v>
      </x:c>
    </x:row>
    <x:row r="1688" ht="24" customHeight="1">
      <x:c r="A1688" s="1" t="inlineStr">
        <x:is>
          <x:t xml:space="preserve">RESULT</x:t>
        </x:is>
      </x:c>
      <x:c r="B1688" s="1" t="inlineStr">
        <x:is>
          <x:t xml:space="preserve">Round2</x:t>
        </x:is>
      </x:c>
      <x:c r="C1688" s="1" t="inlineStr">
        <x:is>
          <x:t xml:space="preserve">Time_17</x:t>
        </x:is>
      </x:c>
      <x:c r="D1688" s="1" t="inlineStr">
        <x:is>
          <x:t xml:space="preserve">INCONCLUSIVE</x:t>
        </x:is>
      </x:c>
      <x:c r="E1688" s="5">
        <x:v>0.6618</x:v>
      </x:c>
      <x:c r="F1688" s="4">
        <x:v>0</x:v>
      </x:c>
      <x:c r="G1688" s="4">
        <x:v>30447</x:v>
      </x:c>
      <x:c r="H1688" s="6">
        <x:v>1100.06</x:v>
      </x:c>
      <x:c r="I1688" s="16">
        <x:v>1</x:v>
      </x:c>
      <x:c r="J1688">
        <x:v>343</x:v>
      </x:c>
      <x:c r="K1688" s="4">
        <x:v>227</x:v>
      </x:c>
      <x:c r="L1688" s="4">
        <x:v>162</x:v>
      </x:c>
      <x:c r="M1688" s="4">
        <x:v>81</x:v>
      </x:c>
      <x:c r="N1688" s="5">
        <x:v>0.5</x:v>
      </x:c>
    </x:row>
    <x:row r="1689" ht="24" customHeight="1">
      <x:c r="A1689" s="1" t="inlineStr">
        <x:is>
          <x:t xml:space="preserve">RESULT</x:t>
        </x:is>
      </x:c>
      <x:c r="B1689" s="1" t="inlineStr">
        <x:is>
          <x:t xml:space="preserve">Round2</x:t>
        </x:is>
      </x:c>
      <x:c r="C1689" s="1" t="inlineStr">
        <x:is>
          <x:t xml:space="preserve">Time_18</x:t>
        </x:is>
      </x:c>
      <x:c r="D1689" s="1" t="inlineStr">
        <x:is>
          <x:t xml:space="preserve">INCONCLUSIVE</x:t>
        </x:is>
      </x:c>
      <x:c r="E1689" s="5">
        <x:v>0.5</x:v>
      </x:c>
      <x:c r="F1689" s="4">
        <x:v>0</x:v>
      </x:c>
      <x:c r="G1689" s="4">
        <x:v>33443</x:v>
      </x:c>
      <x:c r="H1689" s="6">
        <x:v>1185.56</x:v>
      </x:c>
      <x:c r="I1689" s="16">
        <x:v>1</x:v>
      </x:c>
      <x:c r="J1689">
        <x:v>344</x:v>
      </x:c>
      <x:c r="K1689" s="4">
        <x:v>172</x:v>
      </x:c>
      <x:c r="L1689" s="4">
        <x:v>152</x:v>
      </x:c>
      <x:c r="M1689" s="4">
        <x:v>45</x:v>
      </x:c>
      <x:c r="N1689" s="5">
        <x:v>0.2961</x:v>
      </x:c>
    </x:row>
    <x:row r="1690" ht="24" customHeight="1">
      <x:c r="A1690" s="1" t="inlineStr">
        <x:is>
          <x:t xml:space="preserve">RESULT</x:t>
        </x:is>
      </x:c>
      <x:c r="B1690" s="1" t="inlineStr">
        <x:is>
          <x:t xml:space="preserve">Round2</x:t>
        </x:is>
      </x:c>
      <x:c r="C1690" s="1" t="inlineStr">
        <x:is>
          <x:t xml:space="preserve">Time_19</x:t>
        </x:is>
      </x:c>
      <x:c r="D1690" s="1" t="inlineStr">
        <x:is>
          <x:t xml:space="preserve">NOT_AVAILABLE</x:t>
        </x:is>
      </x:c>
      <x:c r="E1690" s="5"/>
      <x:c r="F1690" s="4">
        <x:v>0</x:v>
      </x:c>
      <x:c r="G1690" s="4">
        <x:v>39582</x:v>
      </x:c>
      <x:c r="H1690" s="6">
        <x:v>1507.87</x:v>
      </x:c>
      <x:c r="I1690" s="16">
        <x:v>1</x:v>
      </x:c>
      <x:c r="J1690"/>
      <x:c r="K1690" s="4"/>
      <x:c r="L1690" s="4"/>
      <x:c r="M1690" s="4"/>
      <x:c r="N1690" s="5"/>
    </x:row>
    <x:row r="1691" ht="24" customHeight="1">
      <x:c r="A1691" s="1" t="inlineStr">
        <x:is>
          <x:t xml:space="preserve">RESULT</x:t>
        </x:is>
      </x:c>
      <x:c r="B1691" s="1" t="inlineStr">
        <x:is>
          <x:t xml:space="preserve">Round2</x:t>
        </x:is>
      </x:c>
      <x:c r="C1691" s="1" t="inlineStr">
        <x:is>
          <x:t xml:space="preserve">Time_2</x:t>
        </x:is>
      </x:c>
      <x:c r="D1691" s="1" t="inlineStr">
        <x:is>
          <x:t xml:space="preserve">NOT_AVAILABLE</x:t>
        </x:is>
      </x:c>
      <x:c r="E1691" s="5"/>
      <x:c r="F1691" s="4">
        <x:v>0</x:v>
      </x:c>
      <x:c r="G1691" s="4">
        <x:v>49540</x:v>
      </x:c>
      <x:c r="H1691" s="6">
        <x:v>1918.61</x:v>
      </x:c>
      <x:c r="I1691" s="16">
        <x:v>1</x:v>
      </x:c>
      <x:c r="J1691"/>
      <x:c r="K1691" s="4"/>
      <x:c r="L1691" s="4"/>
      <x:c r="M1691" s="4"/>
      <x:c r="N1691" s="5"/>
    </x:row>
    <x:row r="1692" ht="24" customHeight="1">
      <x:c r="A1692" s="1" t="inlineStr">
        <x:is>
          <x:t xml:space="preserve">RESULT</x:t>
        </x:is>
      </x:c>
      <x:c r="B1692" s="1" t="inlineStr">
        <x:is>
          <x:t xml:space="preserve">Round2</x:t>
        </x:is>
      </x:c>
      <x:c r="C1692" s="1" t="inlineStr">
        <x:is>
          <x:t xml:space="preserve">Time_20</x:t>
        </x:is>
      </x:c>
      <x:c r="D1692" s="1" t="inlineStr">
        <x:is>
          <x:t xml:space="preserve">INCONCLUSIVE</x:t>
        </x:is>
      </x:c>
      <x:c r="E1692" s="5">
        <x:v>0.1655</x:v>
      </x:c>
      <x:c r="F1692" s="4">
        <x:v>0</x:v>
      </x:c>
      <x:c r="G1692" s="4">
        <x:v>32566</x:v>
      </x:c>
      <x:c r="H1692" s="6">
        <x:v>764.44</x:v>
      </x:c>
      <x:c r="I1692" s="16">
        <x:v>1</x:v>
      </x:c>
      <x:c r="J1692">
        <x:v>1033</x:v>
      </x:c>
      <x:c r="K1692" s="4">
        <x:v>171</x:v>
      </x:c>
      <x:c r="L1692" s="4">
        <x:v>589</x:v>
      </x:c>
      <x:c r="M1692" s="4">
        <x:v>76</x:v>
      </x:c>
      <x:c r="N1692" s="5">
        <x:v>0.129</x:v>
      </x:c>
    </x:row>
    <x:row r="1693" ht="24" customHeight="1">
      <x:c r="A1693" s="1" t="inlineStr">
        <x:is>
          <x:t xml:space="preserve">RESULT</x:t>
        </x:is>
      </x:c>
      <x:c r="B1693" s="1" t="inlineStr">
        <x:is>
          <x:t xml:space="preserve">Round2</x:t>
        </x:is>
      </x:c>
      <x:c r="C1693" s="1" t="inlineStr">
        <x:is>
          <x:t xml:space="preserve">Time_22</x:t>
        </x:is>
      </x:c>
      <x:c r="D1693" s="1" t="inlineStr">
        <x:is>
          <x:t xml:space="preserve">INCONCLUSIVE</x:t>
        </x:is>
      </x:c>
      <x:c r="E1693" s="5">
        <x:v>0.5614</x:v>
      </x:c>
      <x:c r="F1693" s="4">
        <x:v>0</x:v>
      </x:c>
      <x:c r="G1693" s="4">
        <x:v>33751</x:v>
      </x:c>
      <x:c r="H1693" s="6">
        <x:v>1465.73</x:v>
      </x:c>
      <x:c r="I1693" s="16">
        <x:v>1</x:v>
      </x:c>
      <x:c r="J1693">
        <x:v>171</x:v>
      </x:c>
      <x:c r="K1693" s="4">
        <x:v>96</x:v>
      </x:c>
      <x:c r="L1693" s="4">
        <x:v>58</x:v>
      </x:c>
      <x:c r="M1693" s="4">
        <x:v>23</x:v>
      </x:c>
      <x:c r="N1693" s="5">
        <x:v>0.39659999999999995</x:v>
      </x:c>
    </x:row>
    <x:row r="1694" ht="24" customHeight="1">
      <x:c r="A1694" s="1" t="inlineStr">
        <x:is>
          <x:t xml:space="preserve">RESULT</x:t>
        </x:is>
      </x:c>
      <x:c r="B1694" s="1" t="inlineStr">
        <x:is>
          <x:t xml:space="preserve">Round2</x:t>
        </x:is>
      </x:c>
      <x:c r="C1694" s="1" t="inlineStr">
        <x:is>
          <x:t xml:space="preserve">Time_23</x:t>
        </x:is>
      </x:c>
      <x:c r="D1694" s="1" t="inlineStr">
        <x:is>
          <x:t xml:space="preserve">INCONCLUSIVE</x:t>
        </x:is>
      </x:c>
      <x:c r="E1694" s="5">
        <x:v>0.655</x:v>
      </x:c>
      <x:c r="F1694" s="4">
        <x:v>0</x:v>
      </x:c>
      <x:c r="G1694" s="4">
        <x:v>34521</x:v>
      </x:c>
      <x:c r="H1694" s="6">
        <x:v>1308.23</x:v>
      </x:c>
      <x:c r="I1694" s="16">
        <x:v>1</x:v>
      </x:c>
      <x:c r="J1694">
        <x:v>342</x:v>
      </x:c>
      <x:c r="K1694" s="4">
        <x:v>224</x:v>
      </x:c>
      <x:c r="L1694" s="4">
        <x:v>162</x:v>
      </x:c>
      <x:c r="M1694" s="4">
        <x:v>83</x:v>
      </x:c>
      <x:c r="N1694" s="5">
        <x:v>0.5123</x:v>
      </x:c>
    </x:row>
    <x:row r="1695" ht="24" customHeight="1">
      <x:c r="A1695" s="1" t="inlineStr">
        <x:is>
          <x:t xml:space="preserve">RESULT</x:t>
        </x:is>
      </x:c>
      <x:c r="B1695" s="1" t="inlineStr">
        <x:is>
          <x:t xml:space="preserve">Round2</x:t>
        </x:is>
      </x:c>
      <x:c r="C1695" s="1" t="inlineStr">
        <x:is>
          <x:t xml:space="preserve">Time_24</x:t>
        </x:is>
      </x:c>
      <x:c r="D1695" s="1" t="inlineStr">
        <x:is>
          <x:t xml:space="preserve">NOT_AVAILABLE</x:t>
        </x:is>
      </x:c>
      <x:c r="E1695" s="5"/>
      <x:c r="F1695" s="4">
        <x:v>0</x:v>
      </x:c>
      <x:c r="G1695" s="4">
        <x:v>28932</x:v>
      </x:c>
      <x:c r="H1695" s="6">
        <x:v>1062.11</x:v>
      </x:c>
      <x:c r="I1695" s="16">
        <x:v>1</x:v>
      </x:c>
      <x:c r="J1695"/>
      <x:c r="K1695" s="4"/>
      <x:c r="L1695" s="4"/>
      <x:c r="M1695" s="4"/>
      <x:c r="N1695" s="5"/>
    </x:row>
    <x:row r="1696" ht="24" customHeight="1">
      <x:c r="A1696" s="1" t="inlineStr">
        <x:is>
          <x:t xml:space="preserve">RESULT</x:t>
        </x:is>
      </x:c>
      <x:c r="B1696" s="1" t="inlineStr">
        <x:is>
          <x:t xml:space="preserve">Round2</x:t>
        </x:is>
      </x:c>
      <x:c r="C1696" s="1" t="inlineStr">
        <x:is>
          <x:t xml:space="preserve">Time_25</x:t>
        </x:is>
      </x:c>
      <x:c r="D1696" s="1" t="inlineStr">
        <x:is>
          <x:t xml:space="preserve">INCONCLUSIVE</x:t>
        </x:is>
      </x:c>
      <x:c r="E1696" s="5">
        <x:v>0.6799</x:v>
      </x:c>
      <x:c r="F1696" s="4">
        <x:v>0</x:v>
      </x:c>
      <x:c r="G1696" s="4"/>
      <x:c r="H1696" s="6"/>
      <x:c r="I1696" s="16">
        <x:v>1</x:v>
      </x:c>
      <x:c r="J1696">
        <x:v>328</x:v>
      </x:c>
      <x:c r="K1696" s="4">
        <x:v>223</x:v>
      </x:c>
      <x:c r="L1696" s="4">
        <x:v>152</x:v>
      </x:c>
      <x:c r="M1696" s="4">
        <x:v>81</x:v>
      </x:c>
      <x:c r="N1696" s="5">
        <x:v>0.5329</x:v>
      </x:c>
    </x:row>
    <x:row r="1697" ht="24" customHeight="1">
      <x:c r="A1697" s="1" t="inlineStr">
        <x:is>
          <x:t xml:space="preserve">RESULT</x:t>
        </x:is>
      </x:c>
      <x:c r="B1697" s="1" t="inlineStr">
        <x:is>
          <x:t xml:space="preserve">Round2</x:t>
        </x:is>
      </x:c>
      <x:c r="C1697" s="1" t="inlineStr">
        <x:is>
          <x:t xml:space="preserve">Time_26</x:t>
        </x:is>
      </x:c>
      <x:c r="D1697" s="1" t="inlineStr">
        <x:is>
          <x:t xml:space="preserve">INCONCLUSIVE</x:t>
        </x:is>
      </x:c>
      <x:c r="E1697" s="5">
        <x:v>0.6914</x:v>
      </x:c>
      <x:c r="F1697" s="4">
        <x:v>0</x:v>
      </x:c>
      <x:c r="G1697" s="4">
        <x:v>77059</x:v>
      </x:c>
      <x:c r="H1697" s="6">
        <x:v>805.38</x:v>
      </x:c>
      <x:c r="I1697" s="16">
        <x:v>1</x:v>
      </x:c>
      <x:c r="J1697">
        <x:v>567</x:v>
      </x:c>
      <x:c r="K1697" s="4">
        <x:v>392</x:v>
      </x:c>
      <x:c r="L1697" s="4">
        <x:v>240</x:v>
      </x:c>
      <x:c r="M1697" s="4">
        <x:v>144</x:v>
      </x:c>
      <x:c r="N1697" s="5">
        <x:v>0.6</x:v>
      </x:c>
    </x:row>
    <x:row r="1698" ht="24" customHeight="1">
      <x:c r="A1698" s="1" t="inlineStr">
        <x:is>
          <x:t xml:space="preserve">RESULT</x:t>
        </x:is>
      </x:c>
      <x:c r="B1698" s="1" t="inlineStr">
        <x:is>
          <x:t xml:space="preserve">Round2</x:t>
        </x:is>
      </x:c>
      <x:c r="C1698" s="1" t="inlineStr">
        <x:is>
          <x:t xml:space="preserve">Time_27</x:t>
        </x:is>
      </x:c>
      <x:c r="D1698" s="1" t="inlineStr">
        <x:is>
          <x:t xml:space="preserve">INCONCLUSIVE</x:t>
        </x:is>
      </x:c>
      <x:c r="E1698" s="5">
        <x:v>0.3507</x:v>
      </x:c>
      <x:c r="F1698" s="4">
        <x:v>0</x:v>
      </x:c>
      <x:c r="G1698" s="4"/>
      <x:c r="H1698" s="6"/>
      <x:c r="I1698" s="16">
        <x:v>1</x:v>
      </x:c>
      <x:c r="J1698">
        <x:v>670</x:v>
      </x:c>
      <x:c r="K1698" s="4">
        <x:v>235</x:v>
      </x:c>
      <x:c r="L1698" s="4">
        <x:v>446</x:v>
      </x:c>
      <x:c r="M1698" s="4">
        <x:v>88</x:v>
      </x:c>
      <x:c r="N1698" s="5">
        <x:v>0.1973</x:v>
      </x:c>
    </x:row>
    <x:row r="1699" ht="24" customHeight="1">
      <x:c r="A1699" s="1" t="inlineStr">
        <x:is>
          <x:t xml:space="preserve">RESULT</x:t>
        </x:is>
      </x:c>
      <x:c r="B1699" s="1" t="inlineStr">
        <x:is>
          <x:t xml:space="preserve">Round2</x:t>
        </x:is>
      </x:c>
      <x:c r="C1699" s="1" t="inlineStr">
        <x:is>
          <x:t xml:space="preserve">Time_3</x:t>
        </x:is>
      </x:c>
      <x:c r="D1699" s="1" t="inlineStr">
        <x:is>
          <x:t xml:space="preserve">NOT_AVAILABLE</x:t>
        </x:is>
      </x:c>
      <x:c r="E1699" s="5"/>
      <x:c r="F1699" s="4">
        <x:v>0</x:v>
      </x:c>
      <x:c r="G1699" s="4">
        <x:v>15629</x:v>
      </x:c>
      <x:c r="H1699" s="6">
        <x:v>135.44</x:v>
      </x:c>
      <x:c r="I1699" s="16">
        <x:v>1</x:v>
      </x:c>
      <x:c r="J1699"/>
      <x:c r="K1699" s="4"/>
      <x:c r="L1699" s="4"/>
      <x:c r="M1699" s="4"/>
      <x:c r="N1699" s="5"/>
    </x:row>
    <x:row r="1700" ht="24" customHeight="1">
      <x:c r="A1700" s="1" t="inlineStr">
        <x:is>
          <x:t xml:space="preserve">RESULT</x:t>
        </x:is>
      </x:c>
      <x:c r="B1700" s="1" t="inlineStr">
        <x:is>
          <x:t xml:space="preserve">Round2</x:t>
        </x:is>
      </x:c>
      <x:c r="C1700" s="1" t="inlineStr">
        <x:is>
          <x:t xml:space="preserve">Time_4</x:t>
        </x:is>
      </x:c>
      <x:c r="D1700" s="1" t="inlineStr">
        <x:is>
          <x:t xml:space="preserve">NOT_REVEALING</x:t>
        </x:is>
      </x:c>
      <x:c r="E1700" s="5">
        <x:v>0.8498</x:v>
      </x:c>
      <x:c r="F1700" s="4">
        <x:v>0</x:v>
      </x:c>
      <x:c r="G1700" s="4"/>
      <x:c r="H1700" s="6"/>
      <x:c r="I1700" s="16">
        <x:v>1</x:v>
      </x:c>
      <x:c r="J1700">
        <x:v>253</x:v>
      </x:c>
      <x:c r="K1700" s="4">
        <x:v>215</x:v>
      </x:c>
      <x:c r="L1700" s="4">
        <x:v>106</x:v>
      </x:c>
      <x:c r="M1700" s="4">
        <x:v>74</x:v>
      </x:c>
      <x:c r="N1700" s="5">
        <x:v>0.6981</x:v>
      </x:c>
    </x:row>
    <x:row r="1701" ht="24" customHeight="1">
      <x:c r="A1701" s="1" t="inlineStr">
        <x:is>
          <x:t xml:space="preserve">RESULT</x:t>
        </x:is>
      </x:c>
      <x:c r="B1701" s="1" t="inlineStr">
        <x:is>
          <x:t xml:space="preserve">Round2</x:t>
        </x:is>
      </x:c>
      <x:c r="C1701" s="1" t="inlineStr">
        <x:is>
          <x:t xml:space="preserve">Time_5</x:t>
        </x:is>
      </x:c>
      <x:c r="D1701" s="1" t="inlineStr">
        <x:is>
          <x:t xml:space="preserve">NOT_REVEALING</x:t>
        </x:is>
      </x:c>
      <x:c r="E1701" s="5">
        <x:v>0.8763</x:v>
      </x:c>
      <x:c r="F1701" s="4">
        <x:v>0</x:v>
      </x:c>
      <x:c r="G1701" s="4">
        <x:v>47833</x:v>
      </x:c>
      <x:c r="H1701" s="6">
        <x:v>223.45</x:v>
      </x:c>
      <x:c r="I1701" s="16">
        <x:v>1</x:v>
      </x:c>
      <x:c r="J1701">
        <x:v>283</x:v>
      </x:c>
      <x:c r="K1701" s="4">
        <x:v>248</x:v>
      </x:c>
      <x:c r="L1701" s="4">
        <x:v>62</x:v>
      </x:c>
      <x:c r="M1701" s="4">
        <x:v>55</x:v>
      </x:c>
      <x:c r="N1701" s="5">
        <x:v>0.8870999999999999</x:v>
      </x:c>
    </x:row>
    <x:row r="1702" ht="24" customHeight="1">
      <x:c r="A1702" s="1" t="inlineStr">
        <x:is>
          <x:t xml:space="preserve">RESULT</x:t>
        </x:is>
      </x:c>
      <x:c r="B1702" s="1" t="inlineStr">
        <x:is>
          <x:t xml:space="preserve">Round2</x:t>
        </x:is>
      </x:c>
      <x:c r="C1702" s="1" t="inlineStr">
        <x:is>
          <x:t xml:space="preserve">Time_6</x:t>
        </x:is>
      </x:c>
      <x:c r="D1702" s="1" t="inlineStr">
        <x:is>
          <x:t xml:space="preserve">NOT_REVEALING</x:t>
        </x:is>
      </x:c>
      <x:c r="E1702" s="5">
        <x:v>0.5069</x:v>
      </x:c>
      <x:c r="F1702" s="4">
        <x:v>0</x:v>
      </x:c>
      <x:c r="G1702" s="4"/>
      <x:c r="H1702" s="6"/>
      <x:c r="I1702" s="16">
        <x:v>1</x:v>
      </x:c>
      <x:c r="J1702">
        <x:v>361</x:v>
      </x:c>
      <x:c r="K1702" s="4">
        <x:v>183</x:v>
      </x:c>
      <x:c r="L1702" s="4">
        <x:v>168</x:v>
      </x:c>
      <x:c r="M1702" s="4">
        <x:v>46</x:v>
      </x:c>
      <x:c r="N1702" s="5">
        <x:v>0.2738</x:v>
      </x:c>
    </x:row>
    <x:row r="1703" ht="24" customHeight="1">
      <x:c r="A1703" s="1" t="inlineStr">
        <x:is>
          <x:t xml:space="preserve">RESULT</x:t>
        </x:is>
      </x:c>
      <x:c r="B1703" s="1" t="inlineStr">
        <x:is>
          <x:t xml:space="preserve">Round2</x:t>
        </x:is>
      </x:c>
      <x:c r="C1703" s="1" t="inlineStr">
        <x:is>
          <x:t xml:space="preserve">Time_7</x:t>
        </x:is>
      </x:c>
      <x:c r="D1703" s="1" t="inlineStr">
        <x:is>
          <x:t xml:space="preserve">NOT_AVAILABLE</x:t>
        </x:is>
      </x:c>
      <x:c r="E1703" s="5"/>
      <x:c r="F1703" s="4">
        <x:v>0</x:v>
      </x:c>
      <x:c r="G1703" s="4">
        <x:v>39690</x:v>
      </x:c>
      <x:c r="H1703" s="6">
        <x:v>196.13</x:v>
      </x:c>
      <x:c r="I1703" s="16">
        <x:v>1</x:v>
      </x:c>
      <x:c r="J1703"/>
      <x:c r="K1703" s="4"/>
      <x:c r="L1703" s="4"/>
      <x:c r="M1703" s="4"/>
      <x:c r="N1703" s="5"/>
    </x:row>
    <x:row r="1704" ht="24" customHeight="1">
      <x:c r="A1704" s="1" t="inlineStr">
        <x:is>
          <x:t xml:space="preserve">RESULT</x:t>
        </x:is>
      </x:c>
      <x:c r="B1704" s="1" t="inlineStr">
        <x:is>
          <x:t xml:space="preserve">Round2</x:t>
        </x:is>
      </x:c>
      <x:c r="C1704" s="1" t="inlineStr">
        <x:is>
          <x:t xml:space="preserve">Time_8</x:t>
        </x:is>
      </x:c>
      <x:c r="D1704" s="1" t="inlineStr">
        <x:is>
          <x:t xml:space="preserve">NOT_REVEALING</x:t>
        </x:is>
      </x:c>
      <x:c r="E1704" s="5">
        <x:v>0.6535</x:v>
      </x:c>
      <x:c r="F1704" s="4">
        <x:v>0</x:v>
      </x:c>
      <x:c r="G1704" s="4"/>
      <x:c r="H1704" s="6"/>
      <x:c r="I1704" s="16">
        <x:v>1</x:v>
      </x:c>
      <x:c r="J1704">
        <x:v>355</x:v>
      </x:c>
      <x:c r="K1704" s="4">
        <x:v>232</x:v>
      </x:c>
      <x:c r="L1704" s="4">
        <x:v>178</x:v>
      </x:c>
      <x:c r="M1704" s="4">
        <x:v>91</x:v>
      </x:c>
      <x:c r="N1704" s="5">
        <x:v>0.5112</x:v>
      </x:c>
    </x:row>
    <x:row r="1705" ht="24" customHeight="1">
      <x:c r="A1705" s="1" t="inlineStr">
        <x:is>
          <x:t xml:space="preserve">RESULT</x:t>
        </x:is>
      </x:c>
      <x:c r="B1705" s="1" t="inlineStr">
        <x:is>
          <x:t xml:space="preserve">Round2</x:t>
        </x:is>
      </x:c>
      <x:c r="C1705" s="1" t="inlineStr">
        <x:is>
          <x:t xml:space="preserve">Time_9</x:t>
        </x:is>
      </x:c>
      <x:c r="D1705" s="1" t="inlineStr">
        <x:is>
          <x:t xml:space="preserve">NOT_AVAILABLE</x:t>
        </x:is>
      </x:c>
      <x:c r="E1705" s="5"/>
      <x:c r="F1705" s="4">
        <x:v>0</x:v>
      </x:c>
      <x:c r="G1705" s="4">
        <x:v>33472</x:v>
      </x:c>
      <x:c r="H1705" s="6">
        <x:v>1208.75</x:v>
      </x:c>
      <x:c r="I1705" s="16">
        <x:v>1</x:v>
      </x:c>
      <x:c r="J1705"/>
      <x:c r="K1705" s="4"/>
      <x:c r="L1705" s="4"/>
      <x:c r="M1705" s="4"/>
      <x:c r="N1705" s="5"/>
    </x:row>
  </x:sheetData>
  <x:pageMargins left="0.7" right="0.7" top="0.75" bottom="0.75" header="0.3" footer="0.3"/>
  <x:tableParts count="1">
    <x:tablePart xmlns:r="http://schemas.openxmlformats.org/officeDocument/2006/relationships" r:id="Reb19f9f0a86e423b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29" hidden="0" customWidth="1"/>
    <x:col min="3" max="3" width="18" hidden="0" customWidth="1"/>
    <x:col min="4" max="4" width="18" hidden="0" customWidth="1"/>
    <x:col min="5" max="5" width="15" hidden="0" customWidth="1"/>
    <x:col min="6" max="6" width="15" hidden="0" customWidth="1"/>
    <x:col min="7" max="7" width="23" hidden="0" customWidth="1"/>
    <x:col min="8" max="8" width="23" hidden="0" customWidth="1"/>
  </x:cols>
  <x:sheetData>
    <x:row r="2">
      <x:c r="B2" s="17" t="str">
        <x:v>Coverage by project and round</x:v>
      </x:c>
    </x:row>
    <x:row r="3">
      <x:c r="B3" t="str">
        <x:v>Recorded: numeric values only. All results: missing coverage counts as 0%.</x:v>
      </x:c>
    </x:row>
    <x:row r="4">
      <x:c r="B4" t="str">
        <x:v>Each saved result is one case. A target in two rounds counts twice. Raw blanks remain blank.</x:v>
      </x:c>
    </x:row>
    <x:row r="6" ht="42" customHeight="1">
      <x:c r="B6" s="21" t="str">
        <x:v>Project</x:v>
      </x:c>
      <x:c r="C6" s="21" t="str">
        <x:v>Round</x:v>
      </x:c>
      <x:c r="D6" s="21" t="str">
        <x:v>Metric</x:v>
      </x:c>
      <x:c r="E6" s="21" t="str">
        <x:v>Results</x:v>
      </x:c>
      <x:c r="F6" s="21" t="str">
        <x:v>Recorded values</x:v>
      </x:c>
      <x:c r="G6" s="21" t="str">
        <x:v>Recorded only</x:v>
      </x:c>
      <x:c r="H6" s="21" t="str">
        <x:v>All results (missing = 0%)</x:v>
      </x:c>
    </x:row>
    <x:row r="7" ht="23" customHeight="1">
      <x:c r="B7" s="18" t="str">
        <x:v>All projects</x:v>
      </x:c>
      <x:c r="C7" s="18" t="str">
        <x:v>All rounds</x:v>
      </x:c>
      <x:c r="D7" s="18" t="str">
        <x:v>Line</x:v>
      </x:c>
      <x:c r="E7" s="22" t="n">
        <x:f>COUNTA('Data'!$C$2:$C$1705)</x:f>
        <x:v>1704</x:v>
      </x:c>
      <x:c r="F7" s="22" t="n">
        <x:f>COUNT('Data'!$E$2:$E$1705)</x:f>
        <x:v>625</x:v>
      </x:c>
      <x:c r="G7" s="23" t="n">
        <x:f>IF(F7=0,"—",SUM('Data'!$E$2:$E$1705)/F7/1)</x:f>
        <x:v>0.7218392000000006</x:v>
      </x:c>
      <x:c r="H7" s="23" t="n">
        <x:f>IF(E7=0,"—",SUM('Data'!$E$2:$E$1705)/E7/1)</x:f>
        <x:v>0.26475909624413163</x:v>
      </x:c>
    </x:row>
    <x:row r="8" ht="23" customHeight="1">
      <x:c r="B8" s="18" t="str">
        <x:v>All projects</x:v>
      </x:c>
      <x:c r="C8" s="18" t="str">
        <x:v>All rounds</x:v>
      </x:c>
      <x:c r="D8" s="18" t="str">
        <x:v>Condition</x:v>
      </x:c>
      <x:c r="E8" s="22" t="n">
        <x:f>COUNTA('Data'!$C$2:$C$1705)</x:f>
        <x:v>1704</x:v>
      </x:c>
      <x:c r="F8" s="22" t="n">
        <x:f>COUNT('Data'!$N$2:$N$1705)</x:f>
        <x:v>616</x:v>
      </x:c>
      <x:c r="G8" s="23" t="n">
        <x:f>IF(F8=0,"—",SUM('Data'!$N$2:$N$1705)/F8/1)</x:f>
        <x:v>0.6421681818181818</x:v>
      </x:c>
      <x:c r="H8" s="23" t="n">
        <x:f>IF(E8=0,"—",SUM('Data'!$N$2:$N$1705)/E8/1)</x:f>
        <x:v>0.23214530516431925</x:v>
      </x:c>
    </x:row>
    <x:row r="9" ht="23" customHeight="1">
      <x:c r="B9" s="18" t="str">
        <x:v>All projects</x:v>
      </x:c>
      <x:c r="C9" s="18" t="str">
        <x:v>Round1</x:v>
      </x:c>
      <x:c r="D9" s="18" t="str">
        <x:v>Line</x:v>
      </x:c>
      <x:c r="E9" s="22" t="n">
        <x:f>COUNTA('Data'!$C$2:$C$853)</x:f>
        <x:v>852</x:v>
      </x:c>
      <x:c r="F9" s="22" t="n">
        <x:f>COUNT('Data'!$E$2:$E$853)</x:f>
        <x:v>216</x:v>
      </x:c>
      <x:c r="G9" s="23" t="n">
        <x:f>IF(F9=0,"—",SUM('Data'!$E$2:$E$853)/F9/1)</x:f>
        <x:v>0.7394115740740739</x:v>
      </x:c>
      <x:c r="H9" s="23" t="n">
        <x:f>IF(E9=0,"—",SUM('Data'!$E$2:$E$853)/E9/1)</x:f>
        <x:v>0.187456455399061</x:v>
      </x:c>
    </x:row>
    <x:row r="10" ht="23" customHeight="1">
      <x:c r="B10" s="18" t="str">
        <x:v>All projects</x:v>
      </x:c>
      <x:c r="C10" s="18" t="str">
        <x:v>Round1</x:v>
      </x:c>
      <x:c r="D10" s="18" t="str">
        <x:v>Condition</x:v>
      </x:c>
      <x:c r="E10" s="22" t="n">
        <x:f>COUNTA('Data'!$C$2:$C$853)</x:f>
        <x:v>852</x:v>
      </x:c>
      <x:c r="F10" s="22" t="n">
        <x:f>COUNT('Data'!$N$2:$N$853)</x:f>
        <x:v>212</x:v>
      </x:c>
      <x:c r="G10" s="23" t="n">
        <x:f>IF(F10=0,"—",SUM('Data'!$N$2:$N$853)/F10/1)</x:f>
        <x:v>0.6608867924528302</x:v>
      </x:c>
      <x:c r="H10" s="23" t="n">
        <x:f>IF(E10=0,"—",SUM('Data'!$N$2:$N$853)/E10/1)</x:f>
        <x:v>0.16444600938967135</x:v>
      </x:c>
    </x:row>
    <x:row r="11" ht="23" customHeight="1">
      <x:c r="B11" s="18" t="str">
        <x:v>All projects</x:v>
      </x:c>
      <x:c r="C11" s="18" t="str">
        <x:v>Round2</x:v>
      </x:c>
      <x:c r="D11" s="18" t="str">
        <x:v>Line</x:v>
      </x:c>
      <x:c r="E11" s="22" t="n">
        <x:f>COUNTA('Data'!$C$854:$C$1705)</x:f>
        <x:v>852</x:v>
      </x:c>
      <x:c r="F11" s="22" t="n">
        <x:f>COUNT('Data'!$E$854:$E$1705)</x:f>
        <x:v>409</x:v>
      </x:c>
      <x:c r="G11" s="23" t="n">
        <x:f>IF(F11=0,"—",SUM('Data'!$E$854:$E$1705)/F11/1)</x:f>
        <x:v>0.7125589242053791</x:v>
      </x:c>
      <x:c r="H11" s="23" t="n">
        <x:f>IF(E11=0,"—",SUM('Data'!$E$854:$E$1705)/E11/1)</x:f>
        <x:v>0.34206173708920196</x:v>
      </x:c>
    </x:row>
    <x:row r="12" ht="23" customHeight="1">
      <x:c r="B12" s="18" t="str">
        <x:v>All projects</x:v>
      </x:c>
      <x:c r="C12" s="18" t="str">
        <x:v>Round2</x:v>
      </x:c>
      <x:c r="D12" s="18" t="str">
        <x:v>Condition</x:v>
      </x:c>
      <x:c r="E12" s="22" t="n">
        <x:f>COUNTA('Data'!$C$854:$C$1705)</x:f>
        <x:v>852</x:v>
      </x:c>
      <x:c r="F12" s="22" t="n">
        <x:f>COUNT('Data'!$N$854:$N$1705)</x:f>
        <x:v>404</x:v>
      </x:c>
      <x:c r="G12" s="23" t="n">
        <x:f>IF(F12=0,"—",SUM('Data'!$N$854:$N$1705)/F12/1)</x:f>
        <x:v>0.6323455445544557</x:v>
      </x:c>
      <x:c r="H12" s="23" t="n">
        <x:f>IF(E12=0,"—",SUM('Data'!$N$854:$N$1705)/E12/1)</x:f>
        <x:v>0.29984460093896725</x:v>
      </x:c>
    </x:row>
    <x:row r="13" ht="23" customHeight="1">
      <x:c r="B13" s="18" t="str">
        <x:v>Chart</x:v>
      </x:c>
      <x:c r="C13" s="18" t="str">
        <x:v>All rounds</x:v>
      </x:c>
      <x:c r="D13" s="18" t="str">
        <x:v>Line</x:v>
      </x:c>
      <x:c r="E13" s="22" t="n">
        <x:f>COUNTA('Data'!$C$2:$C$27,'Data'!$C$854:$C$879)</x:f>
        <x:v>52</x:v>
      </x:c>
      <x:c r="F13" s="22" t="n">
        <x:f>COUNT('Data'!$E$2:$E$27,'Data'!$E$854:$E$879)</x:f>
        <x:v>21</x:v>
      </x:c>
      <x:c r="G13" s="23" t="n">
        <x:f>IF(F13=0,"—",SUM('Data'!$E$2:$E$27,'Data'!$E$854:$E$879)/F13/1)</x:f>
        <x:v>0.7769428571428573</x:v>
      </x:c>
      <x:c r="H13" s="23" t="n">
        <x:f>IF(E13=0,"—",SUM('Data'!$E$2:$E$27,'Data'!$E$854:$E$879)/E13/1)</x:f>
        <x:v>0.31376538461538467</x:v>
      </x:c>
    </x:row>
    <x:row r="14" ht="23" customHeight="1">
      <x:c r="B14" s="18" t="str">
        <x:v>Chart</x:v>
      </x:c>
      <x:c r="C14" s="18" t="str">
        <x:v>All rounds</x:v>
      </x:c>
      <x:c r="D14" s="18" t="str">
        <x:v>Condition</x:v>
      </x:c>
      <x:c r="E14" s="22" t="n">
        <x:f>COUNTA('Data'!$C$2:$C$27,'Data'!$C$854:$C$879)</x:f>
        <x:v>52</x:v>
      </x:c>
      <x:c r="F14" s="22" t="n">
        <x:f>COUNT('Data'!$N$2:$N$27,'Data'!$N$854:$N$879)</x:f>
        <x:v>19</x:v>
      </x:c>
      <x:c r="G14" s="23" t="n">
        <x:f>IF(F14=0,"—",SUM('Data'!$N$2:$N$27,'Data'!$N$854:$N$879)/F14/1)</x:f>
        <x:v>0.655721052631579</x:v>
      </x:c>
      <x:c r="H14" s="23" t="n">
        <x:f>IF(E14=0,"—",SUM('Data'!$N$2:$N$27,'Data'!$N$854:$N$879)/E14/1)</x:f>
        <x:v>0.23959038461538462</x:v>
      </x:c>
    </x:row>
    <x:row r="15" ht="23" customHeight="1">
      <x:c r="B15" s="18" t="str">
        <x:v>Chart</x:v>
      </x:c>
      <x:c r="C15" s="18" t="str">
        <x:v>Round1</x:v>
      </x:c>
      <x:c r="D15" s="18" t="str">
        <x:v>Line</x:v>
      </x:c>
      <x:c r="E15" s="22" t="n">
        <x:f>COUNTA('Data'!$C$2:$C$27)</x:f>
        <x:v>26</x:v>
      </x:c>
      <x:c r="F15" s="22" t="n">
        <x:f>COUNT('Data'!$E$2:$E$27)</x:f>
        <x:v>7</x:v>
      </x:c>
      <x:c r="G15" s="23" t="n">
        <x:f>IF(F15=0,"—",SUM('Data'!$E$2:$E$27)/F15/1)</x:f>
        <x:v>0.783</x:v>
      </x:c>
      <x:c r="H15" s="23" t="n">
        <x:f>IF(E15=0,"—",SUM('Data'!$E$2:$E$27)/E15/1)</x:f>
        <x:v>0.2108076923076923</x:v>
      </x:c>
    </x:row>
    <x:row r="16" ht="23" customHeight="1">
      <x:c r="B16" s="18" t="str">
        <x:v>Chart</x:v>
      </x:c>
      <x:c r="C16" s="18" t="str">
        <x:v>Round1</x:v>
      </x:c>
      <x:c r="D16" s="18" t="str">
        <x:v>Condition</x:v>
      </x:c>
      <x:c r="E16" s="22" t="n">
        <x:f>COUNTA('Data'!$C$2:$C$27)</x:f>
        <x:v>26</x:v>
      </x:c>
      <x:c r="F16" s="22" t="n">
        <x:f>COUNT('Data'!$N$2:$N$27)</x:f>
        <x:v>6</x:v>
      </x:c>
      <x:c r="G16" s="23" t="n">
        <x:f>IF(F16=0,"—",SUM('Data'!$N$2:$N$27)/F16/1)</x:f>
        <x:v>0.6373166666666666</x:v>
      </x:c>
      <x:c r="H16" s="23" t="n">
        <x:f>IF(E16=0,"—",SUM('Data'!$N$2:$N$27)/E16/1)</x:f>
        <x:v>0.14707307692307692</x:v>
      </x:c>
    </x:row>
    <x:row r="17" ht="23" customHeight="1">
      <x:c r="B17" s="18" t="str">
        <x:v>Chart</x:v>
      </x:c>
      <x:c r="C17" s="18" t="str">
        <x:v>Round2</x:v>
      </x:c>
      <x:c r="D17" s="18" t="str">
        <x:v>Line</x:v>
      </x:c>
      <x:c r="E17" s="22" t="n">
        <x:f>COUNTA('Data'!$C$854:$C$879)</x:f>
        <x:v>26</x:v>
      </x:c>
      <x:c r="F17" s="22" t="n">
        <x:f>COUNT('Data'!$E$854:$E$879)</x:f>
        <x:v>14</x:v>
      </x:c>
      <x:c r="G17" s="23" t="n">
        <x:f>IF(F17=0,"—",SUM('Data'!$E$854:$E$879)/F17/1)</x:f>
        <x:v>0.7739142857142858</x:v>
      </x:c>
      <x:c r="H17" s="23" t="n">
        <x:f>IF(E17=0,"—",SUM('Data'!$E$854:$E$879)/E17/1)</x:f>
        <x:v>0.416723076923077</x:v>
      </x:c>
    </x:row>
    <x:row r="18" ht="23" customHeight="1">
      <x:c r="B18" s="18" t="str">
        <x:v>Chart</x:v>
      </x:c>
      <x:c r="C18" s="18" t="str">
        <x:v>Round2</x:v>
      </x:c>
      <x:c r="D18" s="18" t="str">
        <x:v>Condition</x:v>
      </x:c>
      <x:c r="E18" s="22" t="n">
        <x:f>COUNTA('Data'!$C$854:$C$879)</x:f>
        <x:v>26</x:v>
      </x:c>
      <x:c r="F18" s="22" t="n">
        <x:f>COUNT('Data'!$N$854:$N$879)</x:f>
        <x:v>13</x:v>
      </x:c>
      <x:c r="G18" s="23" t="n">
        <x:f>IF(F18=0,"—",SUM('Data'!$N$854:$N$879)/F18/1)</x:f>
        <x:v>0.6642153846153847</x:v>
      </x:c>
      <x:c r="H18" s="23" t="n">
        <x:f>IF(E18=0,"—",SUM('Data'!$N$854:$N$879)/E18/1)</x:f>
        <x:v>0.3321076923076923</x:v>
      </x:c>
    </x:row>
    <x:row r="19" ht="23" customHeight="1">
      <x:c r="B19" s="18" t="str">
        <x:v>Cli</x:v>
      </x:c>
      <x:c r="C19" s="18" t="str">
        <x:v>All rounds</x:v>
      </x:c>
      <x:c r="D19" s="18" t="str">
        <x:v>Line</x:v>
      </x:c>
      <x:c r="E19" s="22" t="n">
        <x:f>COUNTA('Data'!$C$28:$C$66,'Data'!$C$880:$C$918)</x:f>
        <x:v>78</x:v>
      </x:c>
      <x:c r="F19" s="22" t="n">
        <x:f>COUNT('Data'!$E$28:$E$66,'Data'!$E$880:$E$918)</x:f>
        <x:v>42</x:v>
      </x:c>
      <x:c r="G19" s="23" t="n">
        <x:f>IF(F19=0,"—",SUM('Data'!$E$28:$E$66,'Data'!$E$880:$E$918)/F19/1)</x:f>
        <x:v>0.12599047619047618</x:v>
      </x:c>
      <x:c r="H19" s="23" t="n">
        <x:f>IF(E19=0,"—",SUM('Data'!$E$28:$E$66,'Data'!$E$880:$E$918)/E19/1)</x:f>
        <x:v>0.06784102564102563</x:v>
      </x:c>
    </x:row>
    <x:row r="20" ht="23" customHeight="1">
      <x:c r="B20" s="18" t="str">
        <x:v>Cli</x:v>
      </x:c>
      <x:c r="C20" s="18" t="str">
        <x:v>All rounds</x:v>
      </x:c>
      <x:c r="D20" s="18" t="str">
        <x:v>Condition</x:v>
      </x:c>
      <x:c r="E20" s="22" t="n">
        <x:f>COUNTA('Data'!$C$28:$C$66,'Data'!$C$880:$C$918)</x:f>
        <x:v>78</x:v>
      </x:c>
      <x:c r="F20" s="22" t="n">
        <x:f>COUNT('Data'!$N$28:$N$66,'Data'!$N$880:$N$918)</x:f>
        <x:v>42</x:v>
      </x:c>
      <x:c r="G20" s="23" t="n">
        <x:f>IF(F20=0,"—",SUM('Data'!$N$28:$N$66,'Data'!$N$880:$N$918)/F20/1)</x:f>
        <x:v>0.11392380952380951</x:v>
      </x:c>
      <x:c r="H20" s="23" t="n">
        <x:f>IF(E20=0,"—",SUM('Data'!$N$28:$N$66,'Data'!$N$880:$N$918)/E20/1)</x:f>
        <x:v>0.06134358974358974</x:v>
      </x:c>
    </x:row>
    <x:row r="21" ht="23" customHeight="1">
      <x:c r="B21" s="18" t="str">
        <x:v>Cli</x:v>
      </x:c>
      <x:c r="C21" s="18" t="str">
        <x:v>Round1</x:v>
      </x:c>
      <x:c r="D21" s="18" t="str">
        <x:v>Line</x:v>
      </x:c>
      <x:c r="E21" s="22" t="n">
        <x:f>COUNTA('Data'!$C$28:$C$66)</x:f>
        <x:v>39</x:v>
      </x:c>
      <x:c r="F21" s="22" t="n">
        <x:f>COUNT('Data'!$E$28:$E$66)</x:f>
        <x:v>15</x:v>
      </x:c>
      <x:c r="G21" s="23" t="n">
        <x:f>IF(F21=0,"—",SUM('Data'!$E$28:$E$66)/F21/1)</x:f>
        <x:v>0.1203</x:v>
      </x:c>
      <x:c r="H21" s="23" t="n">
        <x:f>IF(E21=0,"—",SUM('Data'!$E$28:$E$66)/E21/1)</x:f>
        <x:v>0.04626923076923077</x:v>
      </x:c>
    </x:row>
    <x:row r="22" ht="23" customHeight="1">
      <x:c r="B22" s="18" t="str">
        <x:v>Cli</x:v>
      </x:c>
      <x:c r="C22" s="18" t="str">
        <x:v>Round1</x:v>
      </x:c>
      <x:c r="D22" s="18" t="str">
        <x:v>Condition</x:v>
      </x:c>
      <x:c r="E22" s="22" t="n">
        <x:f>COUNTA('Data'!$C$28:$C$66)</x:f>
        <x:v>39</x:v>
      </x:c>
      <x:c r="F22" s="22" t="n">
        <x:f>COUNT('Data'!$N$28:$N$66)</x:f>
        <x:v>15</x:v>
      </x:c>
      <x:c r="G22" s="23" t="n">
        <x:f>IF(F22=0,"—",SUM('Data'!$N$28:$N$66)/F22/1)</x:f>
        <x:v>0.11666666666666667</x:v>
      </x:c>
      <x:c r="H22" s="23" t="n">
        <x:f>IF(E22=0,"—",SUM('Data'!$N$28:$N$66)/E22/1)</x:f>
        <x:v>0.04487179487179487</x:v>
      </x:c>
    </x:row>
    <x:row r="23" ht="23" customHeight="1">
      <x:c r="B23" s="18" t="str">
        <x:v>Cli</x:v>
      </x:c>
      <x:c r="C23" s="18" t="str">
        <x:v>Round2</x:v>
      </x:c>
      <x:c r="D23" s="18" t="str">
        <x:v>Line</x:v>
      </x:c>
      <x:c r="E23" s="22" t="n">
        <x:f>COUNTA('Data'!$C$880:$C$918)</x:f>
        <x:v>39</x:v>
      </x:c>
      <x:c r="F23" s="22" t="n">
        <x:f>COUNT('Data'!$E$880:$E$918)</x:f>
        <x:v>27</x:v>
      </x:c>
      <x:c r="G23" s="23" t="n">
        <x:f>IF(F23=0,"—",SUM('Data'!$E$880:$E$918)/F23/1)</x:f>
        <x:v>0.12915185185185185</x:v>
      </x:c>
      <x:c r="H23" s="23" t="n">
        <x:f>IF(E23=0,"—",SUM('Data'!$E$880:$E$918)/E23/1)</x:f>
        <x:v>0.08941282051282051</x:v>
      </x:c>
    </x:row>
    <x:row r="24" ht="23" customHeight="1">
      <x:c r="B24" s="18" t="str">
        <x:v>Cli</x:v>
      </x:c>
      <x:c r="C24" s="18" t="str">
        <x:v>Round2</x:v>
      </x:c>
      <x:c r="D24" s="18" t="str">
        <x:v>Condition</x:v>
      </x:c>
      <x:c r="E24" s="22" t="n">
        <x:f>COUNTA('Data'!$C$880:$C$918)</x:f>
        <x:v>39</x:v>
      </x:c>
      <x:c r="F24" s="22" t="n">
        <x:f>COUNT('Data'!$N$880:$N$918)</x:f>
        <x:v>27</x:v>
      </x:c>
      <x:c r="G24" s="23" t="n">
        <x:f>IF(F24=0,"—",SUM('Data'!$N$880:$N$918)/F24/1)</x:f>
        <x:v>0.11239999999999999</x:v>
      </x:c>
      <x:c r="H24" s="23" t="n">
        <x:f>IF(E24=0,"—",SUM('Data'!$N$880:$N$918)/E24/1)</x:f>
        <x:v>0.0778153846153846</x:v>
      </x:c>
    </x:row>
    <x:row r="25" ht="23" customHeight="1">
      <x:c r="B25" s="18" t="str">
        <x:v>Closure</x:v>
      </x:c>
      <x:c r="C25" s="18" t="str">
        <x:v>All rounds</x:v>
      </x:c>
      <x:c r="D25" s="18" t="str">
        <x:v>Line</x:v>
      </x:c>
      <x:c r="E25" s="22" t="n">
        <x:f>COUNTA('Data'!$C$67:$C$238,'Data'!$C$919:$C$1090)</x:f>
        <x:v>344</x:v>
      </x:c>
      <x:c r="F25" s="22" t="n">
        <x:f>COUNT('Data'!$E$67:$E$238,'Data'!$E$919:$E$1090)</x:f>
        <x:v>33</x:v>
      </x:c>
      <x:c r="G25" s="23" t="n">
        <x:f>IF(F25=0,"—",SUM('Data'!$E$67:$E$238,'Data'!$E$919:$E$1090)/F25/1)</x:f>
        <x:v>0.3946393939393939</x:v>
      </x:c>
      <x:c r="H25" s="23" t="n">
        <x:f>IF(E25=0,"—",SUM('Data'!$E$67:$E$238,'Data'!$E$919:$E$1090)/E25/1)</x:f>
        <x:v>0.0378578488372093</x:v>
      </x:c>
    </x:row>
    <x:row r="26" ht="23" customHeight="1">
      <x:c r="B26" s="18" t="str">
        <x:v>Closure</x:v>
      </x:c>
      <x:c r="C26" s="18" t="str">
        <x:v>All rounds</x:v>
      </x:c>
      <x:c r="D26" s="18" t="str">
        <x:v>Condition</x:v>
      </x:c>
      <x:c r="E26" s="22" t="n">
        <x:f>COUNTA('Data'!$C$67:$C$238,'Data'!$C$919:$C$1090)</x:f>
        <x:v>344</x:v>
      </x:c>
      <x:c r="F26" s="22" t="n">
        <x:f>COUNT('Data'!$N$67:$N$238,'Data'!$N$919:$N$1090)</x:f>
        <x:v>33</x:v>
      </x:c>
      <x:c r="G26" s="23" t="n">
        <x:f>IF(F26=0,"—",SUM('Data'!$N$67:$N$238,'Data'!$N$919:$N$1090)/F26/1)</x:f>
        <x:v>0.327030303030303</x:v>
      </x:c>
      <x:c r="H26" s="23" t="n">
        <x:f>IF(E26=0,"—",SUM('Data'!$N$67:$N$238,'Data'!$N$919:$N$1090)/E26/1)</x:f>
        <x:v>0.03137209302325581</x:v>
      </x:c>
    </x:row>
    <x:row r="27" ht="23" customHeight="1">
      <x:c r="B27" s="18" t="str">
        <x:v>Closure</x:v>
      </x:c>
      <x:c r="C27" s="18" t="str">
        <x:v>Round1</x:v>
      </x:c>
      <x:c r="D27" s="18" t="str">
        <x:v>Line</x:v>
      </x:c>
      <x:c r="E27" s="22" t="n">
        <x:f>COUNTA('Data'!$C$67:$C$238)</x:f>
        <x:v>172</x:v>
      </x:c>
      <x:c r="F27" s="22" t="n">
        <x:f>COUNT('Data'!$E$67:$E$238)</x:f>
        <x:v>7</x:v>
      </x:c>
      <x:c r="G27" s="23" t="n">
        <x:f>IF(F27=0,"—",SUM('Data'!$E$67:$E$238)/F27/1)</x:f>
        <x:v>0.5012285714285715</x:v>
      </x:c>
      <x:c r="H27" s="23" t="n">
        <x:f>IF(E27=0,"—",SUM('Data'!$E$67:$E$238)/E27/1)</x:f>
        <x:v>0.020398837209302325</x:v>
      </x:c>
    </x:row>
    <x:row r="28" ht="23" customHeight="1">
      <x:c r="B28" s="18" t="str">
        <x:v>Closure</x:v>
      </x:c>
      <x:c r="C28" s="18" t="str">
        <x:v>Round1</x:v>
      </x:c>
      <x:c r="D28" s="18" t="str">
        <x:v>Condition</x:v>
      </x:c>
      <x:c r="E28" s="22" t="n">
        <x:f>COUNTA('Data'!$C$67:$C$238)</x:f>
        <x:v>172</x:v>
      </x:c>
      <x:c r="F28" s="22" t="n">
        <x:f>COUNT('Data'!$N$67:$N$238)</x:f>
        <x:v>7</x:v>
      </x:c>
      <x:c r="G28" s="23" t="n">
        <x:f>IF(F28=0,"—",SUM('Data'!$N$67:$N$238)/F28/1)</x:f>
        <x:v>0.4537</x:v>
      </x:c>
      <x:c r="H28" s="23" t="n">
        <x:f>IF(E28=0,"—",SUM('Data'!$N$67:$N$238)/E28/1)</x:f>
        <x:v>0.01846453488372093</x:v>
      </x:c>
    </x:row>
    <x:row r="29" ht="23" customHeight="1">
      <x:c r="B29" s="18" t="str">
        <x:v>Closure</x:v>
      </x:c>
      <x:c r="C29" s="18" t="str">
        <x:v>Round2</x:v>
      </x:c>
      <x:c r="D29" s="18" t="str">
        <x:v>Line</x:v>
      </x:c>
      <x:c r="E29" s="22" t="n">
        <x:f>COUNTA('Data'!$C$919:$C$1090)</x:f>
        <x:v>172</x:v>
      </x:c>
      <x:c r="F29" s="22" t="n">
        <x:f>COUNT('Data'!$E$919:$E$1090)</x:f>
        <x:v>26</x:v>
      </x:c>
      <x:c r="G29" s="23" t="n">
        <x:f>IF(F29=0,"—",SUM('Data'!$E$919:$E$1090)/F29/1)</x:f>
        <x:v>0.3659423076923077</x:v>
      </x:c>
      <x:c r="H29" s="23" t="n">
        <x:f>IF(E29=0,"—",SUM('Data'!$E$919:$E$1090)/E29/1)</x:f>
        <x:v>0.05531686046511628</x:v>
      </x:c>
    </x:row>
    <x:row r="30" ht="23" customHeight="1">
      <x:c r="B30" s="18" t="str">
        <x:v>Closure</x:v>
      </x:c>
      <x:c r="C30" s="18" t="str">
        <x:v>Round2</x:v>
      </x:c>
      <x:c r="D30" s="18" t="str">
        <x:v>Condition</x:v>
      </x:c>
      <x:c r="E30" s="22" t="n">
        <x:f>COUNTA('Data'!$C$919:$C$1090)</x:f>
        <x:v>172</x:v>
      </x:c>
      <x:c r="F30" s="22" t="n">
        <x:f>COUNT('Data'!$N$919:$N$1090)</x:f>
        <x:v>26</x:v>
      </x:c>
      <x:c r="G30" s="23" t="n">
        <x:f>IF(F30=0,"—",SUM('Data'!$N$919:$N$1090)/F30/1)</x:f>
        <x:v>0.29292692307692303</x:v>
      </x:c>
      <x:c r="H30" s="23" t="n">
        <x:f>IF(E30=0,"—",SUM('Data'!$N$919:$N$1090)/E30/1)</x:f>
        <x:v>0.044279651162790694</x:v>
      </x:c>
    </x:row>
    <x:row r="31" ht="23" customHeight="1">
      <x:c r="B31" s="18" t="str">
        <x:v>Codec</x:v>
      </x:c>
      <x:c r="C31" s="18" t="str">
        <x:v>All rounds</x:v>
      </x:c>
      <x:c r="D31" s="18" t="str">
        <x:v>Line</x:v>
      </x:c>
      <x:c r="E31" s="22" t="n">
        <x:f>COUNTA('Data'!$C$239:$C$256,'Data'!$C$1091:$C$1108)</x:f>
        <x:v>36</x:v>
      </x:c>
      <x:c r="F31" s="22" t="n">
        <x:f>COUNT('Data'!$E$239:$E$256,'Data'!$E$1091:$E$1108)</x:f>
        <x:v>19</x:v>
      </x:c>
      <x:c r="G31" s="23" t="n">
        <x:f>IF(F31=0,"—",SUM('Data'!$E$239:$E$256,'Data'!$E$1091:$E$1108)/F31/1)</x:f>
        <x:v>0.8994684210526316</x:v>
      </x:c>
      <x:c r="H31" s="23" t="n">
        <x:f>IF(E31=0,"—",SUM('Data'!$E$239:$E$256,'Data'!$E$1091:$E$1108)/E31/1)</x:f>
        <x:v>0.47471944444444447</x:v>
      </x:c>
    </x:row>
    <x:row r="32" ht="23" customHeight="1">
      <x:c r="B32" s="18" t="str">
        <x:v>Codec</x:v>
      </x:c>
      <x:c r="C32" s="18" t="str">
        <x:v>All rounds</x:v>
      </x:c>
      <x:c r="D32" s="18" t="str">
        <x:v>Condition</x:v>
      </x:c>
      <x:c r="E32" s="22" t="n">
        <x:f>COUNTA('Data'!$C$239:$C$256,'Data'!$C$1091:$C$1108)</x:f>
        <x:v>36</x:v>
      </x:c>
      <x:c r="F32" s="22" t="n">
        <x:f>COUNT('Data'!$N$239:$N$256,'Data'!$N$1091:$N$1108)</x:f>
        <x:v>19</x:v>
      </x:c>
      <x:c r="G32" s="23" t="n">
        <x:f>IF(F32=0,"—",SUM('Data'!$N$239:$N$256,'Data'!$N$1091:$N$1108)/F32/1)</x:f>
        <x:v>0.8011421052631579</x:v>
      </x:c>
      <x:c r="H32" s="23" t="n">
        <x:f>IF(E32=0,"—",SUM('Data'!$N$239:$N$256,'Data'!$N$1091:$N$1108)/E32/1)</x:f>
        <x:v>0.422825</x:v>
      </x:c>
    </x:row>
    <x:row r="33" ht="23" customHeight="1">
      <x:c r="B33" s="18" t="str">
        <x:v>Codec</x:v>
      </x:c>
      <x:c r="C33" s="18" t="str">
        <x:v>Round1</x:v>
      </x:c>
      <x:c r="D33" s="18" t="str">
        <x:v>Line</x:v>
      </x:c>
      <x:c r="E33" s="22" t="n">
        <x:f>COUNTA('Data'!$C$239:$C$256)</x:f>
        <x:v>18</x:v>
      </x:c>
      <x:c r="F33" s="22" t="n">
        <x:f>COUNT('Data'!$E$239:$E$256)</x:f>
        <x:v>5</x:v>
      </x:c>
      <x:c r="G33" s="23" t="n">
        <x:f>IF(F33=0,"—",SUM('Data'!$E$239:$E$256)/F33/1)</x:f>
        <x:v>0.8816600000000001</x:v>
      </x:c>
      <x:c r="H33" s="23" t="n">
        <x:f>IF(E33=0,"—",SUM('Data'!$E$239:$E$256)/E33/1)</x:f>
        <x:v>0.2449055555555556</x:v>
      </x:c>
    </x:row>
    <x:row r="34" ht="23" customHeight="1">
      <x:c r="B34" s="18" t="str">
        <x:v>Codec</x:v>
      </x:c>
      <x:c r="C34" s="18" t="str">
        <x:v>Round1</x:v>
      </x:c>
      <x:c r="D34" s="18" t="str">
        <x:v>Condition</x:v>
      </x:c>
      <x:c r="E34" s="22" t="n">
        <x:f>COUNTA('Data'!$C$239:$C$256)</x:f>
        <x:v>18</x:v>
      </x:c>
      <x:c r="F34" s="22" t="n">
        <x:f>COUNT('Data'!$N$239:$N$256)</x:f>
        <x:v>5</x:v>
      </x:c>
      <x:c r="G34" s="23" t="n">
        <x:f>IF(F34=0,"—",SUM('Data'!$N$239:$N$256)/F34/1)</x:f>
        <x:v>0.7573199999999999</x:v>
      </x:c>
      <x:c r="H34" s="23" t="n">
        <x:f>IF(E34=0,"—",SUM('Data'!$N$239:$N$256)/E34/1)</x:f>
        <x:v>0.21036666666666665</x:v>
      </x:c>
    </x:row>
    <x:row r="35" ht="23" customHeight="1">
      <x:c r="B35" s="18" t="str">
        <x:v>Codec</x:v>
      </x:c>
      <x:c r="C35" s="18" t="str">
        <x:v>Round2</x:v>
      </x:c>
      <x:c r="D35" s="18" t="str">
        <x:v>Line</x:v>
      </x:c>
      <x:c r="E35" s="22" t="n">
        <x:f>COUNTA('Data'!$C$1091:$C$1108)</x:f>
        <x:v>18</x:v>
      </x:c>
      <x:c r="F35" s="22" t="n">
        <x:f>COUNT('Data'!$E$1091:$E$1108)</x:f>
        <x:v>14</x:v>
      </x:c>
      <x:c r="G35" s="23" t="n">
        <x:f>IF(F35=0,"—",SUM('Data'!$E$1091:$E$1108)/F35/1)</x:f>
        <x:v>0.9058285714285715</x:v>
      </x:c>
      <x:c r="H35" s="23" t="n">
        <x:f>IF(E35=0,"—",SUM('Data'!$E$1091:$E$1108)/E35/1)</x:f>
        <x:v>0.7045333333333335</x:v>
      </x:c>
    </x:row>
    <x:row r="36" ht="23" customHeight="1">
      <x:c r="B36" s="18" t="str">
        <x:v>Codec</x:v>
      </x:c>
      <x:c r="C36" s="18" t="str">
        <x:v>Round2</x:v>
      </x:c>
      <x:c r="D36" s="18" t="str">
        <x:v>Condition</x:v>
      </x:c>
      <x:c r="E36" s="22" t="n">
        <x:f>COUNTA('Data'!$C$1091:$C$1108)</x:f>
        <x:v>18</x:v>
      </x:c>
      <x:c r="F36" s="22" t="n">
        <x:f>COUNT('Data'!$N$1091:$N$1108)</x:f>
        <x:v>14</x:v>
      </x:c>
      <x:c r="G36" s="23" t="n">
        <x:f>IF(F36=0,"—",SUM('Data'!$N$1091:$N$1108)/F36/1)</x:f>
        <x:v>0.8167928571428572</x:v>
      </x:c>
      <x:c r="H36" s="23" t="n">
        <x:f>IF(E36=0,"—",SUM('Data'!$N$1091:$N$1108)/E36/1)</x:f>
        <x:v>0.6352833333333333</x:v>
      </x:c>
    </x:row>
    <x:row r="37" ht="23" customHeight="1">
      <x:c r="B37" s="18" t="str">
        <x:v>Collections</x:v>
      </x:c>
      <x:c r="C37" s="18" t="str">
        <x:v>All rounds</x:v>
      </x:c>
      <x:c r="D37" s="18" t="str">
        <x:v>Line</x:v>
      </x:c>
      <x:c r="E37" s="22" t="n">
        <x:f>COUNTA('Data'!$C$257:$C$284,'Data'!$C$1109:$C$1136)</x:f>
        <x:v>56</x:v>
      </x:c>
      <x:c r="F37" s="22" t="n">
        <x:f>COUNT('Data'!$E$257:$E$284,'Data'!$E$1109:$E$1136)</x:f>
        <x:v>26</x:v>
      </x:c>
      <x:c r="G37" s="23" t="n">
        <x:f>IF(F37=0,"—",SUM('Data'!$E$257:$E$284,'Data'!$E$1109:$E$1136)/F37/1)</x:f>
        <x:v>0.8528115384615383</x:v>
      </x:c>
      <x:c r="H37" s="23" t="n">
        <x:f>IF(E37=0,"—",SUM('Data'!$E$257:$E$284,'Data'!$E$1109:$E$1136)/E37/1)</x:f>
        <x:v>0.39594821428571425</x:v>
      </x:c>
    </x:row>
    <x:row r="38" ht="23" customHeight="1">
      <x:c r="B38" s="18" t="str">
        <x:v>Collections</x:v>
      </x:c>
      <x:c r="C38" s="18" t="str">
        <x:v>All rounds</x:v>
      </x:c>
      <x:c r="D38" s="18" t="str">
        <x:v>Condition</x:v>
      </x:c>
      <x:c r="E38" s="22" t="n">
        <x:f>COUNTA('Data'!$C$257:$C$284,'Data'!$C$1109:$C$1136)</x:f>
        <x:v>56</x:v>
      </x:c>
      <x:c r="F38" s="22" t="n">
        <x:f>COUNT('Data'!$N$257:$N$284,'Data'!$N$1109:$N$1136)</x:f>
        <x:v>26</x:v>
      </x:c>
      <x:c r="G38" s="23" t="n">
        <x:f>IF(F38=0,"—",SUM('Data'!$N$257:$N$284,'Data'!$N$1109:$N$1136)/F38/1)</x:f>
        <x:v>0.8462423076923076</x:v>
      </x:c>
      <x:c r="H38" s="23" t="n">
        <x:f>IF(E38=0,"—",SUM('Data'!$N$257:$N$284,'Data'!$N$1109:$N$1136)/E38/1)</x:f>
        <x:v>0.39289821428571425</x:v>
      </x:c>
    </x:row>
    <x:row r="39" ht="23" customHeight="1">
      <x:c r="B39" s="18" t="str">
        <x:v>Collections</x:v>
      </x:c>
      <x:c r="C39" s="18" t="str">
        <x:v>Round1</x:v>
      </x:c>
      <x:c r="D39" s="18" t="str">
        <x:v>Line</x:v>
      </x:c>
      <x:c r="E39" s="22" t="n">
        <x:f>COUNTA('Data'!$C$257:$C$284)</x:f>
        <x:v>28</x:v>
      </x:c>
      <x:c r="F39" s="22" t="n">
        <x:f>COUNT('Data'!$E$257:$E$284)</x:f>
        <x:v>9</x:v>
      </x:c>
      <x:c r="G39" s="23" t="n">
        <x:f>IF(F39=0,"—",SUM('Data'!$E$257:$E$284)/F39/1)</x:f>
        <x:v>0.8834</x:v>
      </x:c>
      <x:c r="H39" s="23" t="n">
        <x:f>IF(E39=0,"—",SUM('Data'!$E$257:$E$284)/E39/1)</x:f>
        <x:v>0.28395</x:v>
      </x:c>
    </x:row>
    <x:row r="40" ht="23" customHeight="1">
      <x:c r="B40" s="18" t="str">
        <x:v>Collections</x:v>
      </x:c>
      <x:c r="C40" s="18" t="str">
        <x:v>Round1</x:v>
      </x:c>
      <x:c r="D40" s="18" t="str">
        <x:v>Condition</x:v>
      </x:c>
      <x:c r="E40" s="22" t="n">
        <x:f>COUNTA('Data'!$C$257:$C$284)</x:f>
        <x:v>28</x:v>
      </x:c>
      <x:c r="F40" s="22" t="n">
        <x:f>COUNT('Data'!$N$257:$N$284)</x:f>
        <x:v>9</x:v>
      </x:c>
      <x:c r="G40" s="23" t="n">
        <x:f>IF(F40=0,"—",SUM('Data'!$N$257:$N$284)/F40/1)</x:f>
        <x:v>0.8613666666666666</x:v>
      </x:c>
      <x:c r="H40" s="23" t="n">
        <x:f>IF(E40=0,"—",SUM('Data'!$N$257:$N$284)/E40/1)</x:f>
        <x:v>0.27686785714285717</x:v>
      </x:c>
    </x:row>
    <x:row r="41" ht="23" customHeight="1">
      <x:c r="B41" s="18" t="str">
        <x:v>Collections</x:v>
      </x:c>
      <x:c r="C41" s="18" t="str">
        <x:v>Round2</x:v>
      </x:c>
      <x:c r="D41" s="18" t="str">
        <x:v>Line</x:v>
      </x:c>
      <x:c r="E41" s="22" t="n">
        <x:f>COUNTA('Data'!$C$1109:$C$1136)</x:f>
        <x:v>28</x:v>
      </x:c>
      <x:c r="F41" s="22" t="n">
        <x:f>COUNT('Data'!$E$1109:$E$1136)</x:f>
        <x:v>17</x:v>
      </x:c>
      <x:c r="G41" s="23" t="n">
        <x:f>IF(F41=0,"—",SUM('Data'!$E$1109:$E$1136)/F41/1)</x:f>
        <x:v>0.8366176470588236</x:v>
      </x:c>
      <x:c r="H41" s="23" t="n">
        <x:f>IF(E41=0,"—",SUM('Data'!$E$1109:$E$1136)/E41/1)</x:f>
        <x:v>0.5079464285714286</x:v>
      </x:c>
    </x:row>
    <x:row r="42" ht="23" customHeight="1">
      <x:c r="B42" s="18" t="str">
        <x:v>Collections</x:v>
      </x:c>
      <x:c r="C42" s="18" t="str">
        <x:v>Round2</x:v>
      </x:c>
      <x:c r="D42" s="18" t="str">
        <x:v>Condition</x:v>
      </x:c>
      <x:c r="E42" s="22" t="n">
        <x:f>COUNTA('Data'!$C$1109:$C$1136)</x:f>
        <x:v>28</x:v>
      </x:c>
      <x:c r="F42" s="22" t="n">
        <x:f>COUNT('Data'!$N$1109:$N$1136)</x:f>
        <x:v>17</x:v>
      </x:c>
      <x:c r="G42" s="23" t="n">
        <x:f>IF(F42=0,"—",SUM('Data'!$N$1109:$N$1136)/F42/1)</x:f>
        <x:v>0.838235294117647</x:v>
      </x:c>
      <x:c r="H42" s="23" t="n">
        <x:f>IF(E42=0,"—",SUM('Data'!$N$1109:$N$1136)/E42/1)</x:f>
        <x:v>0.5089285714285714</x:v>
      </x:c>
    </x:row>
    <x:row r="43" ht="23" customHeight="1">
      <x:c r="B43" s="18" t="str">
        <x:v>Compress</x:v>
      </x:c>
      <x:c r="C43" s="18" t="str">
        <x:v>All rounds</x:v>
      </x:c>
      <x:c r="D43" s="18" t="str">
        <x:v>Line</x:v>
      </x:c>
      <x:c r="E43" s="22" t="n">
        <x:f>COUNTA('Data'!$C$285:$C$331,'Data'!$C$1137:$C$1183)</x:f>
        <x:v>94</x:v>
      </x:c>
      <x:c r="F43" s="22" t="n">
        <x:f>COUNT('Data'!$E$285:$E$331,'Data'!$E$1137:$E$1183)</x:f>
        <x:v>41</x:v>
      </x:c>
      <x:c r="G43" s="23" t="n">
        <x:f>IF(F43=0,"—",SUM('Data'!$E$285:$E$331,'Data'!$E$1137:$E$1183)/F43/1)</x:f>
        <x:v>0.671151219512195</x:v>
      </x:c>
      <x:c r="H43" s="23" t="n">
        <x:f>IF(E43=0,"—",SUM('Data'!$E$285:$E$331,'Data'!$E$1137:$E$1183)/E43/1)</x:f>
        <x:v>0.29273617021276593</x:v>
      </x:c>
    </x:row>
    <x:row r="44" ht="23" customHeight="1">
      <x:c r="B44" s="18" t="str">
        <x:v>Compress</x:v>
      </x:c>
      <x:c r="C44" s="18" t="str">
        <x:v>All rounds</x:v>
      </x:c>
      <x:c r="D44" s="18" t="str">
        <x:v>Condition</x:v>
      </x:c>
      <x:c r="E44" s="22" t="n">
        <x:f>COUNTA('Data'!$C$285:$C$331,'Data'!$C$1137:$C$1183)</x:f>
        <x:v>94</x:v>
      </x:c>
      <x:c r="F44" s="22" t="n">
        <x:f>COUNT('Data'!$N$285:$N$331,'Data'!$N$1137:$N$1183)</x:f>
        <x:v>41</x:v>
      </x:c>
      <x:c r="G44" s="23" t="n">
        <x:f>IF(F44=0,"—",SUM('Data'!$N$285:$N$331,'Data'!$N$1137:$N$1183)/F44/1)</x:f>
        <x:v>0.605319512195122</x:v>
      </x:c>
      <x:c r="H44" s="23" t="n">
        <x:f>IF(E44=0,"—",SUM('Data'!$N$285:$N$331,'Data'!$N$1137:$N$1183)/E44/1)</x:f>
        <x:v>0.2640223404255319</x:v>
      </x:c>
    </x:row>
    <x:row r="45" ht="23" customHeight="1">
      <x:c r="B45" s="18" t="str">
        <x:v>Compress</x:v>
      </x:c>
      <x:c r="C45" s="18" t="str">
        <x:v>Round1</x:v>
      </x:c>
      <x:c r="D45" s="18" t="str">
        <x:v>Line</x:v>
      </x:c>
      <x:c r="E45" s="22" t="n">
        <x:f>COUNTA('Data'!$C$285:$C$331)</x:f>
        <x:v>47</x:v>
      </x:c>
      <x:c r="F45" s="22" t="n">
        <x:f>COUNT('Data'!$E$285:$E$331)</x:f>
        <x:v>13</x:v>
      </x:c>
      <x:c r="G45" s="23" t="n">
        <x:f>IF(F45=0,"—",SUM('Data'!$E$285:$E$331)/F45/1)</x:f>
        <x:v>0.5776769230769231</x:v>
      </x:c>
      <x:c r="H45" s="23" t="n">
        <x:f>IF(E45=0,"—",SUM('Data'!$E$285:$E$331)/E45/1)</x:f>
        <x:v>0.15978297872340427</x:v>
      </x:c>
    </x:row>
    <x:row r="46" ht="23" customHeight="1">
      <x:c r="B46" s="18" t="str">
        <x:v>Compress</x:v>
      </x:c>
      <x:c r="C46" s="18" t="str">
        <x:v>Round1</x:v>
      </x:c>
      <x:c r="D46" s="18" t="str">
        <x:v>Condition</x:v>
      </x:c>
      <x:c r="E46" s="22" t="n">
        <x:f>COUNTA('Data'!$C$285:$C$331)</x:f>
        <x:v>47</x:v>
      </x:c>
      <x:c r="F46" s="22" t="n">
        <x:f>COUNT('Data'!$N$285:$N$331)</x:f>
        <x:v>13</x:v>
      </x:c>
      <x:c r="G46" s="23" t="n">
        <x:f>IF(F46=0,"—",SUM('Data'!$N$285:$N$331)/F46/1)</x:f>
        <x:v>0.5241</x:v>
      </x:c>
      <x:c r="H46" s="23" t="n">
        <x:f>IF(E46=0,"—",SUM('Data'!$N$285:$N$331)/E46/1)</x:f>
        <x:v>0.14496382978723404</x:v>
      </x:c>
    </x:row>
    <x:row r="47" ht="23" customHeight="1">
      <x:c r="B47" s="18" t="str">
        <x:v>Compress</x:v>
      </x:c>
      <x:c r="C47" s="18" t="str">
        <x:v>Round2</x:v>
      </x:c>
      <x:c r="D47" s="18" t="str">
        <x:v>Line</x:v>
      </x:c>
      <x:c r="E47" s="22" t="n">
        <x:f>COUNTA('Data'!$C$1137:$C$1183)</x:f>
        <x:v>47</x:v>
      </x:c>
      <x:c r="F47" s="22" t="n">
        <x:f>COUNT('Data'!$E$1137:$E$1183)</x:f>
        <x:v>28</x:v>
      </x:c>
      <x:c r="G47" s="23" t="n">
        <x:f>IF(F47=0,"—",SUM('Data'!$E$1137:$E$1183)/F47/1)</x:f>
        <x:v>0.7145499999999999</x:v>
      </x:c>
      <x:c r="H47" s="23" t="n">
        <x:f>IF(E47=0,"—",SUM('Data'!$E$1137:$E$1183)/E47/1)</x:f>
        <x:v>0.4256893617021276</x:v>
      </x:c>
    </x:row>
    <x:row r="48" ht="23" customHeight="1">
      <x:c r="B48" s="18" t="str">
        <x:v>Compress</x:v>
      </x:c>
      <x:c r="C48" s="18" t="str">
        <x:v>Round2</x:v>
      </x:c>
      <x:c r="D48" s="18" t="str">
        <x:v>Condition</x:v>
      </x:c>
      <x:c r="E48" s="22" t="n">
        <x:f>COUNTA('Data'!$C$1137:$C$1183)</x:f>
        <x:v>47</x:v>
      </x:c>
      <x:c r="F48" s="22" t="n">
        <x:f>COUNT('Data'!$N$1137:$N$1183)</x:f>
        <x:v>28</x:v>
      </x:c>
      <x:c r="G48" s="23" t="n">
        <x:f>IF(F48=0,"—",SUM('Data'!$N$1137:$N$1183)/F48/1)</x:f>
        <x:v>0.6430285714285715</x:v>
      </x:c>
      <x:c r="H48" s="23" t="n">
        <x:f>IF(E48=0,"—",SUM('Data'!$N$1137:$N$1183)/E48/1)</x:f>
        <x:v>0.38308085106382983</x:v>
      </x:c>
    </x:row>
    <x:row r="49" ht="23" customHeight="1">
      <x:c r="B49" s="18" t="str">
        <x:v>Csv</x:v>
      </x:c>
      <x:c r="C49" s="18" t="str">
        <x:v>All rounds</x:v>
      </x:c>
      <x:c r="D49" s="18" t="str">
        <x:v>Line</x:v>
      </x:c>
      <x:c r="E49" s="22" t="n">
        <x:f>COUNTA('Data'!$C$332:$C$347,'Data'!$C$1184:$C$1199)</x:f>
        <x:v>32</x:v>
      </x:c>
      <x:c r="F49" s="22" t="n">
        <x:f>COUNT('Data'!$E$332:$E$347,'Data'!$E$1184:$E$1199)</x:f>
        <x:v>15</x:v>
      </x:c>
      <x:c r="G49" s="23" t="n">
        <x:f>IF(F49=0,"—",SUM('Data'!$E$332:$E$347,'Data'!$E$1184:$E$1199)/F49/1)</x:f>
        <x:v>0.8665266666666667</x:v>
      </x:c>
      <x:c r="H49" s="23" t="n">
        <x:f>IF(E49=0,"—",SUM('Data'!$E$332:$E$347,'Data'!$E$1184:$E$1199)/E49/1)</x:f>
        <x:v>0.406184375</x:v>
      </x:c>
    </x:row>
    <x:row r="50" ht="23" customHeight="1">
      <x:c r="B50" s="18" t="str">
        <x:v>Csv</x:v>
      </x:c>
      <x:c r="C50" s="18" t="str">
        <x:v>All rounds</x:v>
      </x:c>
      <x:c r="D50" s="18" t="str">
        <x:v>Condition</x:v>
      </x:c>
      <x:c r="E50" s="22" t="n">
        <x:f>COUNTA('Data'!$C$332:$C$347,'Data'!$C$1184:$C$1199)</x:f>
        <x:v>32</x:v>
      </x:c>
      <x:c r="F50" s="22" t="n">
        <x:f>COUNT('Data'!$N$332:$N$347,'Data'!$N$1184:$N$1199)</x:f>
        <x:v>15</x:v>
      </x:c>
      <x:c r="G50" s="23" t="n">
        <x:f>IF(F50=0,"—",SUM('Data'!$N$332:$N$347,'Data'!$N$1184:$N$1199)/F50/1)</x:f>
        <x:v>0.78688</x:v>
      </x:c>
      <x:c r="H50" s="23" t="n">
        <x:f>IF(E50=0,"—",SUM('Data'!$N$332:$N$347,'Data'!$N$1184:$N$1199)/E50/1)</x:f>
        <x:v>0.36885</x:v>
      </x:c>
    </x:row>
    <x:row r="51" ht="23" customHeight="1">
      <x:c r="B51" s="18" t="str">
        <x:v>Csv</x:v>
      </x:c>
      <x:c r="C51" s="18" t="str">
        <x:v>Round1</x:v>
      </x:c>
      <x:c r="D51" s="18" t="str">
        <x:v>Line</x:v>
      </x:c>
      <x:c r="E51" s="22" t="n">
        <x:f>COUNTA('Data'!$C$332:$C$347)</x:f>
        <x:v>16</x:v>
      </x:c>
      <x:c r="F51" s="22" t="n">
        <x:f>COUNT('Data'!$E$332:$E$347)</x:f>
        <x:v>6</x:v>
      </x:c>
      <x:c r="G51" s="23" t="n">
        <x:f>IF(F51=0,"—",SUM('Data'!$E$332:$E$347)/F51/1)</x:f>
        <x:v>0.9004333333333333</x:v>
      </x:c>
      <x:c r="H51" s="23" t="n">
        <x:f>IF(E51=0,"—",SUM('Data'!$E$332:$E$347)/E51/1)</x:f>
        <x:v>0.3376625</x:v>
      </x:c>
    </x:row>
    <x:row r="52" ht="23" customHeight="1">
      <x:c r="B52" s="18" t="str">
        <x:v>Csv</x:v>
      </x:c>
      <x:c r="C52" s="18" t="str">
        <x:v>Round1</x:v>
      </x:c>
      <x:c r="D52" s="18" t="str">
        <x:v>Condition</x:v>
      </x:c>
      <x:c r="E52" s="22" t="n">
        <x:f>COUNTA('Data'!$C$332:$C$347)</x:f>
        <x:v>16</x:v>
      </x:c>
      <x:c r="F52" s="22" t="n">
        <x:f>COUNT('Data'!$N$332:$N$347)</x:f>
        <x:v>6</x:v>
      </x:c>
      <x:c r="G52" s="23" t="n">
        <x:f>IF(F52=0,"—",SUM('Data'!$N$332:$N$347)/F52/1)</x:f>
        <x:v>0.8346666666666667</x:v>
      </x:c>
      <x:c r="H52" s="23" t="n">
        <x:f>IF(E52=0,"—",SUM('Data'!$N$332:$N$347)/E52/1)</x:f>
        <x:v>0.313</x:v>
      </x:c>
    </x:row>
    <x:row r="53" ht="23" customHeight="1">
      <x:c r="B53" s="18" t="str">
        <x:v>Csv</x:v>
      </x:c>
      <x:c r="C53" s="18" t="str">
        <x:v>Round2</x:v>
      </x:c>
      <x:c r="D53" s="18" t="str">
        <x:v>Line</x:v>
      </x:c>
      <x:c r="E53" s="22" t="n">
        <x:f>COUNTA('Data'!$C$1184:$C$1199)</x:f>
        <x:v>16</x:v>
      </x:c>
      <x:c r="F53" s="22" t="n">
        <x:f>COUNT('Data'!$E$1184:$E$1199)</x:f>
        <x:v>9</x:v>
      </x:c>
      <x:c r="G53" s="23" t="n">
        <x:f>IF(F53=0,"—",SUM('Data'!$E$1184:$E$1199)/F53/1)</x:f>
        <x:v>0.8439222222222222</x:v>
      </x:c>
      <x:c r="H53" s="23" t="n">
        <x:f>IF(E53=0,"—",SUM('Data'!$E$1184:$E$1199)/E53/1)</x:f>
        <x:v>0.47470625</x:v>
      </x:c>
    </x:row>
    <x:row r="54" ht="23" customHeight="1">
      <x:c r="B54" s="18" t="str">
        <x:v>Csv</x:v>
      </x:c>
      <x:c r="C54" s="18" t="str">
        <x:v>Round2</x:v>
      </x:c>
      <x:c r="D54" s="18" t="str">
        <x:v>Condition</x:v>
      </x:c>
      <x:c r="E54" s="22" t="n">
        <x:f>COUNTA('Data'!$C$1184:$C$1199)</x:f>
        <x:v>16</x:v>
      </x:c>
      <x:c r="F54" s="22" t="n">
        <x:f>COUNT('Data'!$N$1184:$N$1199)</x:f>
        <x:v>9</x:v>
      </x:c>
      <x:c r="G54" s="23" t="n">
        <x:f>IF(F54=0,"—",SUM('Data'!$N$1184:$N$1199)/F54/1)</x:f>
        <x:v>0.7550222222222222</x:v>
      </x:c>
      <x:c r="H54" s="23" t="n">
        <x:f>IF(E54=0,"—",SUM('Data'!$N$1184:$N$1199)/E54/1)</x:f>
        <x:v>0.42469999999999997</x:v>
      </x:c>
    </x:row>
    <x:row r="55" ht="23" customHeight="1">
      <x:c r="B55" s="18" t="str">
        <x:v>Gson</x:v>
      </x:c>
      <x:c r="C55" s="18" t="str">
        <x:v>All rounds</x:v>
      </x:c>
      <x:c r="D55" s="18" t="str">
        <x:v>Line</x:v>
      </x:c>
      <x:c r="E55" s="22" t="n">
        <x:f>COUNTA('Data'!$C$348:$C$365,'Data'!$C$1200:$C$1217)</x:f>
        <x:v>36</x:v>
      </x:c>
      <x:c r="F55" s="22" t="n">
        <x:f>COUNT('Data'!$E$348:$E$365,'Data'!$E$1200:$E$1217)</x:f>
        <x:v>16</x:v>
      </x:c>
      <x:c r="G55" s="23" t="n">
        <x:f>IF(F55=0,"—",SUM('Data'!$E$348:$E$365,'Data'!$E$1200:$E$1217)/F55/1)</x:f>
        <x:v>0.658475</x:v>
      </x:c>
      <x:c r="H55" s="23" t="n">
        <x:f>IF(E55=0,"—",SUM('Data'!$E$348:$E$365,'Data'!$E$1200:$E$1217)/E55/1)</x:f>
        <x:v>0.29265555555555556</x:v>
      </x:c>
    </x:row>
    <x:row r="56" ht="23" customHeight="1">
      <x:c r="B56" s="18" t="str">
        <x:v>Gson</x:v>
      </x:c>
      <x:c r="C56" s="18" t="str">
        <x:v>All rounds</x:v>
      </x:c>
      <x:c r="D56" s="18" t="str">
        <x:v>Condition</x:v>
      </x:c>
      <x:c r="E56" s="22" t="n">
        <x:f>COUNTA('Data'!$C$348:$C$365,'Data'!$C$1200:$C$1217)</x:f>
        <x:v>36</x:v>
      </x:c>
      <x:c r="F56" s="22" t="n">
        <x:f>COUNT('Data'!$N$348:$N$365,'Data'!$N$1200:$N$1217)</x:f>
        <x:v>14</x:v>
      </x:c>
      <x:c r="G56" s="23" t="n">
        <x:f>IF(F56=0,"—",SUM('Data'!$N$348:$N$365,'Data'!$N$1200:$N$1217)/F56/1)</x:f>
        <x:v>0.6365571428571428</x:v>
      </x:c>
      <x:c r="H56" s="23" t="n">
        <x:f>IF(E56=0,"—",SUM('Data'!$N$348:$N$365,'Data'!$N$1200:$N$1217)/E56/1)</x:f>
        <x:v>0.24755</x:v>
      </x:c>
    </x:row>
    <x:row r="57" ht="23" customHeight="1">
      <x:c r="B57" s="18" t="str">
        <x:v>Gson</x:v>
      </x:c>
      <x:c r="C57" s="18" t="str">
        <x:v>Round1</x:v>
      </x:c>
      <x:c r="D57" s="18" t="str">
        <x:v>Line</x:v>
      </x:c>
      <x:c r="E57" s="22" t="n">
        <x:f>COUNTA('Data'!$C$348:$C$365)</x:f>
        <x:v>18</x:v>
      </x:c>
      <x:c r="F57" s="22" t="n">
        <x:f>COUNT('Data'!$E$348:$E$365)</x:f>
        <x:v>4</x:v>
      </x:c>
      <x:c r="G57" s="23" t="n">
        <x:f>IF(F57=0,"—",SUM('Data'!$E$348:$E$365)/F57/1)</x:f>
        <x:v>0.5619</x:v>
      </x:c>
      <x:c r="H57" s="23" t="n">
        <x:f>IF(E57=0,"—",SUM('Data'!$E$348:$E$365)/E57/1)</x:f>
        <x:v>0.12486666666666665</x:v>
      </x:c>
    </x:row>
    <x:row r="58" ht="23" customHeight="1">
      <x:c r="B58" s="18" t="str">
        <x:v>Gson</x:v>
      </x:c>
      <x:c r="C58" s="18" t="str">
        <x:v>Round1</x:v>
      </x:c>
      <x:c r="D58" s="18" t="str">
        <x:v>Condition</x:v>
      </x:c>
      <x:c r="E58" s="22" t="n">
        <x:f>COUNTA('Data'!$C$348:$C$365)</x:f>
        <x:v>18</x:v>
      </x:c>
      <x:c r="F58" s="22" t="n">
        <x:f>COUNT('Data'!$N$348:$N$365)</x:f>
        <x:v>3</x:v>
      </x:c>
      <x:c r="G58" s="23" t="n">
        <x:f>IF(F58=0,"—",SUM('Data'!$N$348:$N$365)/F58/1)</x:f>
        <x:v>0.6515</x:v>
      </x:c>
      <x:c r="H58" s="23" t="n">
        <x:f>IF(E58=0,"—",SUM('Data'!$N$348:$N$365)/E58/1)</x:f>
        <x:v>0.10858333333333332</x:v>
      </x:c>
    </x:row>
    <x:row r="59" ht="23" customHeight="1">
      <x:c r="B59" s="18" t="str">
        <x:v>Gson</x:v>
      </x:c>
      <x:c r="C59" s="18" t="str">
        <x:v>Round2</x:v>
      </x:c>
      <x:c r="D59" s="18" t="str">
        <x:v>Line</x:v>
      </x:c>
      <x:c r="E59" s="22" t="n">
        <x:f>COUNTA('Data'!$C$1200:$C$1217)</x:f>
        <x:v>18</x:v>
      </x:c>
      <x:c r="F59" s="22" t="n">
        <x:f>COUNT('Data'!$E$1200:$E$1217)</x:f>
        <x:v>12</x:v>
      </x:c>
      <x:c r="G59" s="23" t="n">
        <x:f>IF(F59=0,"—",SUM('Data'!$E$1200:$E$1217)/F59/1)</x:f>
        <x:v>0.6906666666666667</x:v>
      </x:c>
      <x:c r="H59" s="23" t="n">
        <x:f>IF(E59=0,"—",SUM('Data'!$E$1200:$E$1217)/E59/1)</x:f>
        <x:v>0.46044444444444443</x:v>
      </x:c>
    </x:row>
    <x:row r="60" ht="23" customHeight="1">
      <x:c r="B60" s="18" t="str">
        <x:v>Gson</x:v>
      </x:c>
      <x:c r="C60" s="18" t="str">
        <x:v>Round2</x:v>
      </x:c>
      <x:c r="D60" s="18" t="str">
        <x:v>Condition</x:v>
      </x:c>
      <x:c r="E60" s="22" t="n">
        <x:f>COUNTA('Data'!$C$1200:$C$1217)</x:f>
        <x:v>18</x:v>
      </x:c>
      <x:c r="F60" s="22" t="n">
        <x:f>COUNT('Data'!$N$1200:$N$1217)</x:f>
        <x:v>11</x:v>
      </x:c>
      <x:c r="G60" s="23" t="n">
        <x:f>IF(F60=0,"—",SUM('Data'!$N$1200:$N$1217)/F60/1)</x:f>
        <x:v>0.6324818181818181</x:v>
      </x:c>
      <x:c r="H60" s="23" t="n">
        <x:f>IF(E60=0,"—",SUM('Data'!$N$1200:$N$1217)/E60/1)</x:f>
        <x:v>0.3865166666666667</x:v>
      </x:c>
    </x:row>
    <x:row r="61" ht="23" customHeight="1">
      <x:c r="B61" s="18" t="str">
        <x:v>JacksonCore</x:v>
      </x:c>
      <x:c r="C61" s="18" t="str">
        <x:v>All rounds</x:v>
      </x:c>
      <x:c r="D61" s="18" t="str">
        <x:v>Line</x:v>
      </x:c>
      <x:c r="E61" s="22" t="n">
        <x:f>COUNTA('Data'!$C$366:$C$391,'Data'!$C$1218:$C$1243)</x:f>
        <x:v>52</x:v>
      </x:c>
      <x:c r="F61" s="22" t="n">
        <x:f>COUNT('Data'!$E$366:$E$391,'Data'!$E$1218:$E$1243)</x:f>
        <x:v>13</x:v>
      </x:c>
      <x:c r="G61" s="23" t="n">
        <x:f>IF(F61=0,"—",SUM('Data'!$E$366:$E$391,'Data'!$E$1218:$E$1243)/F61/1)</x:f>
        <x:v>0.5606153846153846</x:v>
      </x:c>
      <x:c r="H61" s="23" t="n">
        <x:f>IF(E61=0,"—",SUM('Data'!$E$366:$E$391,'Data'!$E$1218:$E$1243)/E61/1)</x:f>
        <x:v>0.14015384615384616</x:v>
      </x:c>
    </x:row>
    <x:row r="62" ht="23" customHeight="1">
      <x:c r="B62" s="18" t="str">
        <x:v>JacksonCore</x:v>
      </x:c>
      <x:c r="C62" s="18" t="str">
        <x:v>All rounds</x:v>
      </x:c>
      <x:c r="D62" s="18" t="str">
        <x:v>Condition</x:v>
      </x:c>
      <x:c r="E62" s="22" t="n">
        <x:f>COUNTA('Data'!$C$366:$C$391,'Data'!$C$1218:$C$1243)</x:f>
        <x:v>52</x:v>
      </x:c>
      <x:c r="F62" s="22" t="n">
        <x:f>COUNT('Data'!$N$366:$N$391,'Data'!$N$1218:$N$1243)</x:f>
        <x:v>13</x:v>
      </x:c>
      <x:c r="G62" s="23" t="n">
        <x:f>IF(F62=0,"—",SUM('Data'!$N$366:$N$391,'Data'!$N$1218:$N$1243)/F62/1)</x:f>
        <x:v>0.42967692307692307</x:v>
      </x:c>
      <x:c r="H62" s="23" t="n">
        <x:f>IF(E62=0,"—",SUM('Data'!$N$366:$N$391,'Data'!$N$1218:$N$1243)/E62/1)</x:f>
        <x:v>0.10741923076923077</x:v>
      </x:c>
    </x:row>
    <x:row r="63" ht="23" customHeight="1">
      <x:c r="B63" s="18" t="str">
        <x:v>JacksonCore</x:v>
      </x:c>
      <x:c r="C63" s="18" t="str">
        <x:v>Round1</x:v>
      </x:c>
      <x:c r="D63" s="18" t="str">
        <x:v>Line</x:v>
      </x:c>
      <x:c r="E63" s="22" t="n">
        <x:f>COUNTA('Data'!$C$366:$C$391)</x:f>
        <x:v>26</x:v>
      </x:c>
      <x:c r="F63" s="22" t="n">
        <x:f>COUNT('Data'!$E$366:$E$391)</x:f>
        <x:v>4</x:v>
      </x:c>
      <x:c r="G63" s="23" t="n">
        <x:f>IF(F63=0,"—",SUM('Data'!$E$366:$E$391)/F63/1)</x:f>
        <x:v>0.59865</x:v>
      </x:c>
      <x:c r="H63" s="23" t="n">
        <x:f>IF(E63=0,"—",SUM('Data'!$E$366:$E$391)/E63/1)</x:f>
        <x:v>0.0921</x:v>
      </x:c>
    </x:row>
    <x:row r="64" ht="23" customHeight="1">
      <x:c r="B64" s="18" t="str">
        <x:v>JacksonCore</x:v>
      </x:c>
      <x:c r="C64" s="18" t="str">
        <x:v>Round1</x:v>
      </x:c>
      <x:c r="D64" s="18" t="str">
        <x:v>Condition</x:v>
      </x:c>
      <x:c r="E64" s="22" t="n">
        <x:f>COUNTA('Data'!$C$366:$C$391)</x:f>
        <x:v>26</x:v>
      </x:c>
      <x:c r="F64" s="22" t="n">
        <x:f>COUNT('Data'!$N$366:$N$391)</x:f>
        <x:v>4</x:v>
      </x:c>
      <x:c r="G64" s="23" t="n">
        <x:f>IF(F64=0,"—",SUM('Data'!$N$366:$N$391)/F64/1)</x:f>
        <x:v>0.46735000000000004</x:v>
      </x:c>
      <x:c r="H64" s="23" t="n">
        <x:f>IF(E64=0,"—",SUM('Data'!$N$366:$N$391)/E64/1)</x:f>
        <x:v>0.0719</x:v>
      </x:c>
    </x:row>
    <x:row r="65" ht="23" customHeight="1">
      <x:c r="B65" s="18" t="str">
        <x:v>JacksonCore</x:v>
      </x:c>
      <x:c r="C65" s="18" t="str">
        <x:v>Round2</x:v>
      </x:c>
      <x:c r="D65" s="18" t="str">
        <x:v>Line</x:v>
      </x:c>
      <x:c r="E65" s="22" t="n">
        <x:f>COUNTA('Data'!$C$1218:$C$1243)</x:f>
        <x:v>26</x:v>
      </x:c>
      <x:c r="F65" s="22" t="n">
        <x:f>COUNT('Data'!$E$1218:$E$1243)</x:f>
        <x:v>9</x:v>
      </x:c>
      <x:c r="G65" s="23" t="n">
        <x:f>IF(F65=0,"—",SUM('Data'!$E$1218:$E$1243)/F65/1)</x:f>
        <x:v>0.543711111111111</x:v>
      </x:c>
      <x:c r="H65" s="23" t="n">
        <x:f>IF(E65=0,"—",SUM('Data'!$E$1218:$E$1243)/E65/1)</x:f>
        <x:v>0.1882076923076923</x:v>
      </x:c>
    </x:row>
    <x:row r="66" ht="23" customHeight="1">
      <x:c r="B66" s="18" t="str">
        <x:v>JacksonCore</x:v>
      </x:c>
      <x:c r="C66" s="18" t="str">
        <x:v>Round2</x:v>
      </x:c>
      <x:c r="D66" s="18" t="str">
        <x:v>Condition</x:v>
      </x:c>
      <x:c r="E66" s="22" t="n">
        <x:f>COUNTA('Data'!$C$1218:$C$1243)</x:f>
        <x:v>26</x:v>
      </x:c>
      <x:c r="F66" s="22" t="n">
        <x:f>COUNT('Data'!$N$1218:$N$1243)</x:f>
        <x:v>9</x:v>
      </x:c>
      <x:c r="G66" s="23" t="n">
        <x:f>IF(F66=0,"—",SUM('Data'!$N$1218:$N$1243)/F66/1)</x:f>
        <x:v>0.4129333333333333</x:v>
      </x:c>
      <x:c r="H66" s="23" t="n">
        <x:f>IF(E66=0,"—",SUM('Data'!$N$1218:$N$1243)/E66/1)</x:f>
        <x:v>0.14293846153846151</x:v>
      </x:c>
    </x:row>
    <x:row r="67" ht="23" customHeight="1">
      <x:c r="B67" s="18" t="str">
        <x:v>JacksonDatabind</x:v>
      </x:c>
      <x:c r="C67" s="18" t="str">
        <x:v>All rounds</x:v>
      </x:c>
      <x:c r="D67" s="18" t="str">
        <x:v>Line</x:v>
      </x:c>
      <x:c r="E67" s="22" t="n">
        <x:f>COUNTA('Data'!$C$392:$C$501,'Data'!$C$1244:$C$1353)</x:f>
        <x:v>220</x:v>
      </x:c>
      <x:c r="F67" s="22" t="n">
        <x:f>COUNT('Data'!$E$392:$E$501,'Data'!$E$1244:$E$1353)</x:f>
        <x:v>57</x:v>
      </x:c>
      <x:c r="G67" s="23" t="n">
        <x:f>IF(F67=0,"—",SUM('Data'!$E$392:$E$501,'Data'!$E$1244:$E$1353)/F67/1)</x:f>
        <x:v>0.7347508771929824</x:v>
      </x:c>
      <x:c r="H67" s="23" t="n">
        <x:f>IF(E67=0,"—",SUM('Data'!$E$392:$E$501,'Data'!$E$1244:$E$1353)/E67/1)</x:f>
        <x:v>0.1903672727272727</x:v>
      </x:c>
    </x:row>
    <x:row r="68" ht="23" customHeight="1">
      <x:c r="B68" s="18" t="str">
        <x:v>JacksonDatabind</x:v>
      </x:c>
      <x:c r="C68" s="18" t="str">
        <x:v>All rounds</x:v>
      </x:c>
      <x:c r="D68" s="18" t="str">
        <x:v>Condition</x:v>
      </x:c>
      <x:c r="E68" s="22" t="n">
        <x:f>COUNTA('Data'!$C$392:$C$501,'Data'!$C$1244:$C$1353)</x:f>
        <x:v>220</x:v>
      </x:c>
      <x:c r="F68" s="22" t="n">
        <x:f>COUNT('Data'!$N$392:$N$501,'Data'!$N$1244:$N$1353)</x:f>
        <x:v>57</x:v>
      </x:c>
      <x:c r="G68" s="23" t="n">
        <x:f>IF(F68=0,"—",SUM('Data'!$N$392:$N$501,'Data'!$N$1244:$N$1353)/F68/1)</x:f>
        <x:v>0.6480105263157895</x:v>
      </x:c>
      <x:c r="H68" s="23" t="n">
        <x:f>IF(E68=0,"—",SUM('Data'!$N$392:$N$501,'Data'!$N$1244:$N$1353)/E68/1)</x:f>
        <x:v>0.16789363636363636</x:v>
      </x:c>
    </x:row>
    <x:row r="69" ht="23" customHeight="1">
      <x:c r="B69" s="18" t="str">
        <x:v>JacksonDatabind</x:v>
      </x:c>
      <x:c r="C69" s="18" t="str">
        <x:v>Round1</x:v>
      </x:c>
      <x:c r="D69" s="18" t="str">
        <x:v>Line</x:v>
      </x:c>
      <x:c r="E69" s="22" t="n">
        <x:f>COUNTA('Data'!$C$392:$C$501)</x:f>
        <x:v>110</x:v>
      </x:c>
      <x:c r="F69" s="22" t="n">
        <x:f>COUNT('Data'!$E$392:$E$501)</x:f>
        <x:v>24</x:v>
      </x:c>
      <x:c r="G69" s="23" t="n">
        <x:f>IF(F69=0,"—",SUM('Data'!$E$392:$E$501)/F69/1)</x:f>
        <x:v>0.7518999999999997</x:v>
      </x:c>
      <x:c r="H69" s="23" t="n">
        <x:f>IF(E69=0,"—",SUM('Data'!$E$392:$E$501)/E69/1)</x:f>
        <x:v>0.16405090909090903</x:v>
      </x:c>
    </x:row>
    <x:row r="70" ht="23" customHeight="1">
      <x:c r="B70" s="18" t="str">
        <x:v>JacksonDatabind</x:v>
      </x:c>
      <x:c r="C70" s="18" t="str">
        <x:v>Round1</x:v>
      </x:c>
      <x:c r="D70" s="18" t="str">
        <x:v>Condition</x:v>
      </x:c>
      <x:c r="E70" s="22" t="n">
        <x:f>COUNTA('Data'!$C$392:$C$501)</x:f>
        <x:v>110</x:v>
      </x:c>
      <x:c r="F70" s="22" t="n">
        <x:f>COUNT('Data'!$N$392:$N$501)</x:f>
        <x:v>24</x:v>
      </x:c>
      <x:c r="G70" s="23" t="n">
        <x:f>IF(F70=0,"—",SUM('Data'!$N$392:$N$501)/F70/1)</x:f>
        <x:v>0.6765249999999999</x:v>
      </x:c>
      <x:c r="H70" s="23" t="n">
        <x:f>IF(E70=0,"—",SUM('Data'!$N$392:$N$501)/E70/1)</x:f>
        <x:v>0.14760545454545454</x:v>
      </x:c>
    </x:row>
    <x:row r="71" ht="23" customHeight="1">
      <x:c r="B71" s="18" t="str">
        <x:v>JacksonDatabind</x:v>
      </x:c>
      <x:c r="C71" s="18" t="str">
        <x:v>Round2</x:v>
      </x:c>
      <x:c r="D71" s="18" t="str">
        <x:v>Line</x:v>
      </x:c>
      <x:c r="E71" s="22" t="n">
        <x:f>COUNTA('Data'!$C$1244:$C$1353)</x:f>
        <x:v>110</x:v>
      </x:c>
      <x:c r="F71" s="22" t="n">
        <x:f>COUNT('Data'!$E$1244:$E$1353)</x:f>
        <x:v>33</x:v>
      </x:c>
      <x:c r="G71" s="23" t="n">
        <x:f>IF(F71=0,"—",SUM('Data'!$E$1244:$E$1353)/F71/1)</x:f>
        <x:v>0.7222787878787877</x:v>
      </x:c>
      <x:c r="H71" s="23" t="n">
        <x:f>IF(E71=0,"—",SUM('Data'!$E$1244:$E$1353)/E71/1)</x:f>
        <x:v>0.21668363636363633</x:v>
      </x:c>
    </x:row>
    <x:row r="72" ht="23" customHeight="1">
      <x:c r="B72" s="18" t="str">
        <x:v>JacksonDatabind</x:v>
      </x:c>
      <x:c r="C72" s="18" t="str">
        <x:v>Round2</x:v>
      </x:c>
      <x:c r="D72" s="18" t="str">
        <x:v>Condition</x:v>
      </x:c>
      <x:c r="E72" s="22" t="n">
        <x:f>COUNTA('Data'!$C$1244:$C$1353)</x:f>
        <x:v>110</x:v>
      </x:c>
      <x:c r="F72" s="22" t="n">
        <x:f>COUNT('Data'!$N$1244:$N$1353)</x:f>
        <x:v>33</x:v>
      </x:c>
      <x:c r="G72" s="23" t="n">
        <x:f>IF(F72=0,"—",SUM('Data'!$N$1244:$N$1353)/F72/1)</x:f>
        <x:v>0.6272727272727273</x:v>
      </x:c>
      <x:c r="H72" s="23" t="n">
        <x:f>IF(E72=0,"—",SUM('Data'!$N$1244:$N$1353)/E72/1)</x:f>
        <x:v>0.1881818181818182</x:v>
      </x:c>
    </x:row>
    <x:row r="73" ht="23" customHeight="1">
      <x:c r="B73" s="18" t="str">
        <x:v>JacksonXml</x:v>
      </x:c>
      <x:c r="C73" s="18" t="str">
        <x:v>All rounds</x:v>
      </x:c>
      <x:c r="D73" s="18" t="str">
        <x:v>Line</x:v>
      </x:c>
      <x:c r="E73" s="22" t="n">
        <x:f>COUNTA('Data'!$C$502:$C$507,'Data'!$C$1354:$C$1359)</x:f>
        <x:v>12</x:v>
      </x:c>
      <x:c r="F73" s="22" t="n">
        <x:f>COUNT('Data'!$E$502:$E$507,'Data'!$E$1354:$E$1359)</x:f>
        <x:v>0</x:v>
      </x:c>
      <x:c r="G73" s="23" t="str">
        <x:f>IF(F73=0,"—",SUM('Data'!$E$502:$E$507,'Data'!$E$1354:$E$1359)/F73/1)</x:f>
        <x:v>—</x:v>
      </x:c>
      <x:c r="H73" s="23" t="n">
        <x:f>IF(E73=0,"—",SUM('Data'!$E$502:$E$507,'Data'!$E$1354:$E$1359)/E73/1)</x:f>
        <x:v>0</x:v>
      </x:c>
    </x:row>
    <x:row r="74" ht="23" customHeight="1">
      <x:c r="B74" s="18" t="str">
        <x:v>JacksonXml</x:v>
      </x:c>
      <x:c r="C74" s="18" t="str">
        <x:v>All rounds</x:v>
      </x:c>
      <x:c r="D74" s="18" t="str">
        <x:v>Condition</x:v>
      </x:c>
      <x:c r="E74" s="22" t="n">
        <x:f>COUNTA('Data'!$C$502:$C$507,'Data'!$C$1354:$C$1359)</x:f>
        <x:v>12</x:v>
      </x:c>
      <x:c r="F74" s="22" t="n">
        <x:f>COUNT('Data'!$N$502:$N$507,'Data'!$N$1354:$N$1359)</x:f>
        <x:v>0</x:v>
      </x:c>
      <x:c r="G74" s="23" t="str">
        <x:f>IF(F74=0,"—",SUM('Data'!$N$502:$N$507,'Data'!$N$1354:$N$1359)/F74/1)</x:f>
        <x:v>—</x:v>
      </x:c>
      <x:c r="H74" s="23" t="n">
        <x:f>IF(E74=0,"—",SUM('Data'!$N$502:$N$507,'Data'!$N$1354:$N$1359)/E74/1)</x:f>
        <x:v>0</x:v>
      </x:c>
    </x:row>
    <x:row r="75" ht="23" customHeight="1">
      <x:c r="B75" s="18" t="str">
        <x:v>JacksonXml</x:v>
      </x:c>
      <x:c r="C75" s="18" t="str">
        <x:v>Round1</x:v>
      </x:c>
      <x:c r="D75" s="18" t="str">
        <x:v>Line</x:v>
      </x:c>
      <x:c r="E75" s="22" t="n">
        <x:f>COUNTA('Data'!$C$502:$C$507)</x:f>
        <x:v>6</x:v>
      </x:c>
      <x:c r="F75" s="22" t="n">
        <x:f>COUNT('Data'!$E$502:$E$507)</x:f>
        <x:v>0</x:v>
      </x:c>
      <x:c r="G75" s="23" t="str">
        <x:f>IF(F75=0,"—",SUM('Data'!$E$502:$E$507)/F75/1)</x:f>
        <x:v>—</x:v>
      </x:c>
      <x:c r="H75" s="23" t="n">
        <x:f>IF(E75=0,"—",SUM('Data'!$E$502:$E$507)/E75/1)</x:f>
        <x:v>0</x:v>
      </x:c>
    </x:row>
    <x:row r="76" ht="23" customHeight="1">
      <x:c r="B76" s="18" t="str">
        <x:v>JacksonXml</x:v>
      </x:c>
      <x:c r="C76" s="18" t="str">
        <x:v>Round1</x:v>
      </x:c>
      <x:c r="D76" s="18" t="str">
        <x:v>Condition</x:v>
      </x:c>
      <x:c r="E76" s="22" t="n">
        <x:f>COUNTA('Data'!$C$502:$C$507)</x:f>
        <x:v>6</x:v>
      </x:c>
      <x:c r="F76" s="22" t="n">
        <x:f>COUNT('Data'!$N$502:$N$507)</x:f>
        <x:v>0</x:v>
      </x:c>
      <x:c r="G76" s="23" t="str">
        <x:f>IF(F76=0,"—",SUM('Data'!$N$502:$N$507)/F76/1)</x:f>
        <x:v>—</x:v>
      </x:c>
      <x:c r="H76" s="23" t="n">
        <x:f>IF(E76=0,"—",SUM('Data'!$N$502:$N$507)/E76/1)</x:f>
        <x:v>0</x:v>
      </x:c>
    </x:row>
    <x:row r="77" ht="23" customHeight="1">
      <x:c r="B77" s="18" t="str">
        <x:v>JacksonXml</x:v>
      </x:c>
      <x:c r="C77" s="18" t="str">
        <x:v>Round2</x:v>
      </x:c>
      <x:c r="D77" s="18" t="str">
        <x:v>Line</x:v>
      </x:c>
      <x:c r="E77" s="22" t="n">
        <x:f>COUNTA('Data'!$C$1354:$C$1359)</x:f>
        <x:v>6</x:v>
      </x:c>
      <x:c r="F77" s="22" t="n">
        <x:f>COUNT('Data'!$E$1354:$E$1359)</x:f>
        <x:v>0</x:v>
      </x:c>
      <x:c r="G77" s="23" t="str">
        <x:f>IF(F77=0,"—",SUM('Data'!$E$1354:$E$1359)/F77/1)</x:f>
        <x:v>—</x:v>
      </x:c>
      <x:c r="H77" s="23" t="n">
        <x:f>IF(E77=0,"—",SUM('Data'!$E$1354:$E$1359)/E77/1)</x:f>
        <x:v>0</x:v>
      </x:c>
    </x:row>
    <x:row r="78" ht="23" customHeight="1">
      <x:c r="B78" s="18" t="str">
        <x:v>JacksonXml</x:v>
      </x:c>
      <x:c r="C78" s="18" t="str">
        <x:v>Round2</x:v>
      </x:c>
      <x:c r="D78" s="18" t="str">
        <x:v>Condition</x:v>
      </x:c>
      <x:c r="E78" s="22" t="n">
        <x:f>COUNTA('Data'!$C$1354:$C$1359)</x:f>
        <x:v>6</x:v>
      </x:c>
      <x:c r="F78" s="22" t="n">
        <x:f>COUNT('Data'!$N$1354:$N$1359)</x:f>
        <x:v>0</x:v>
      </x:c>
      <x:c r="G78" s="23" t="str">
        <x:f>IF(F78=0,"—",SUM('Data'!$N$1354:$N$1359)/F78/1)</x:f>
        <x:v>—</x:v>
      </x:c>
      <x:c r="H78" s="23" t="n">
        <x:f>IF(E78=0,"—",SUM('Data'!$N$1354:$N$1359)/E78/1)</x:f>
        <x:v>0</x:v>
      </x:c>
    </x:row>
    <x:row r="79" ht="23" customHeight="1">
      <x:c r="B79" s="18" t="str">
        <x:v>Jsoup</x:v>
      </x:c>
      <x:c r="C79" s="18" t="str">
        <x:v>All rounds</x:v>
      </x:c>
      <x:c r="D79" s="18" t="str">
        <x:v>Line</x:v>
      </x:c>
      <x:c r="E79" s="22" t="n">
        <x:f>COUNTA('Data'!$C$508:$C$600,'Data'!$C$1360:$C$1452)</x:f>
        <x:v>186</x:v>
      </x:c>
      <x:c r="F79" s="22" t="n">
        <x:f>COUNT('Data'!$E$508:$E$600,'Data'!$E$1360:$E$1452)</x:f>
        <x:v>72</x:v>
      </x:c>
      <x:c r="G79" s="23" t="n">
        <x:f>IF(F79=0,"—",SUM('Data'!$E$508:$E$600,'Data'!$E$1360:$E$1452)/F79/1)</x:f>
        <x:v>0.8904944444444443</x:v>
      </x:c>
      <x:c r="H79" s="23" t="n">
        <x:f>IF(E79=0,"—",SUM('Data'!$E$508:$E$600,'Data'!$E$1360:$E$1452)/E79/1)</x:f>
        <x:v>0.34470752688172035</x:v>
      </x:c>
    </x:row>
    <x:row r="80" ht="23" customHeight="1">
      <x:c r="B80" s="18" t="str">
        <x:v>Jsoup</x:v>
      </x:c>
      <x:c r="C80" s="18" t="str">
        <x:v>All rounds</x:v>
      </x:c>
      <x:c r="D80" s="18" t="str">
        <x:v>Condition</x:v>
      </x:c>
      <x:c r="E80" s="22" t="n">
        <x:f>COUNTA('Data'!$C$508:$C$600,'Data'!$C$1360:$C$1452)</x:f>
        <x:v>186</x:v>
      </x:c>
      <x:c r="F80" s="22" t="n">
        <x:f>COUNT('Data'!$N$508:$N$600,'Data'!$N$1360:$N$1452)</x:f>
        <x:v>72</x:v>
      </x:c>
      <x:c r="G80" s="23" t="n">
        <x:f>IF(F80=0,"—",SUM('Data'!$N$508:$N$600,'Data'!$N$1360:$N$1452)/F80/1)</x:f>
        <x:v>0.7813222222222223</x:v>
      </x:c>
      <x:c r="H80" s="23" t="n">
        <x:f>IF(E80=0,"—",SUM('Data'!$N$508:$N$600,'Data'!$N$1360:$N$1452)/E80/1)</x:f>
        <x:v>0.302447311827957</x:v>
      </x:c>
    </x:row>
    <x:row r="81" ht="23" customHeight="1">
      <x:c r="B81" s="18" t="str">
        <x:v>Jsoup</x:v>
      </x:c>
      <x:c r="C81" s="18" t="str">
        <x:v>Round1</x:v>
      </x:c>
      <x:c r="D81" s="18" t="str">
        <x:v>Line</x:v>
      </x:c>
      <x:c r="E81" s="22" t="n">
        <x:f>COUNTA('Data'!$C$508:$C$600)</x:f>
        <x:v>93</x:v>
      </x:c>
      <x:c r="F81" s="22" t="n">
        <x:f>COUNT('Data'!$E$508:$E$600)</x:f>
        <x:v>27</x:v>
      </x:c>
      <x:c r="G81" s="23" t="n">
        <x:f>IF(F81=0,"—",SUM('Data'!$E$508:$E$600)/F81/1)</x:f>
        <x:v>0.8933555555555556</x:v>
      </x:c>
      <x:c r="H81" s="23" t="n">
        <x:f>IF(E81=0,"—",SUM('Data'!$E$508:$E$600)/E81/1)</x:f>
        <x:v>0.25936129032258065</x:v>
      </x:c>
    </x:row>
    <x:row r="82" ht="23" customHeight="1">
      <x:c r="B82" s="18" t="str">
        <x:v>Jsoup</x:v>
      </x:c>
      <x:c r="C82" s="18" t="str">
        <x:v>Round1</x:v>
      </x:c>
      <x:c r="D82" s="18" t="str">
        <x:v>Condition</x:v>
      </x:c>
      <x:c r="E82" s="22" t="n">
        <x:f>COUNTA('Data'!$C$508:$C$600)</x:f>
        <x:v>93</x:v>
      </x:c>
      <x:c r="F82" s="22" t="n">
        <x:f>COUNT('Data'!$N$508:$N$600)</x:f>
        <x:v>27</x:v>
      </x:c>
      <x:c r="G82" s="23" t="n">
        <x:f>IF(F82=0,"—",SUM('Data'!$N$508:$N$600)/F82/1)</x:f>
        <x:v>0.7775925925925926</x:v>
      </x:c>
      <x:c r="H82" s="23" t="n">
        <x:f>IF(E82=0,"—",SUM('Data'!$N$508:$N$600)/E82/1)</x:f>
        <x:v>0.22575268817204303</x:v>
      </x:c>
    </x:row>
    <x:row r="83" ht="23" customHeight="1">
      <x:c r="B83" s="18" t="str">
        <x:v>Jsoup</x:v>
      </x:c>
      <x:c r="C83" s="18" t="str">
        <x:v>Round2</x:v>
      </x:c>
      <x:c r="D83" s="18" t="str">
        <x:v>Line</x:v>
      </x:c>
      <x:c r="E83" s="22" t="n">
        <x:f>COUNTA('Data'!$C$1360:$C$1452)</x:f>
        <x:v>93</x:v>
      </x:c>
      <x:c r="F83" s="22" t="n">
        <x:f>COUNT('Data'!$E$1360:$E$1452)</x:f>
        <x:v>45</x:v>
      </x:c>
      <x:c r="G83" s="23" t="n">
        <x:f>IF(F83=0,"—",SUM('Data'!$E$1360:$E$1452)/F83/1)</x:f>
        <x:v>0.8887777777777776</x:v>
      </x:c>
      <x:c r="H83" s="23" t="n">
        <x:f>IF(E83=0,"—",SUM('Data'!$E$1360:$E$1452)/E83/1)</x:f>
        <x:v>0.4300537634408601</x:v>
      </x:c>
    </x:row>
    <x:row r="84" ht="23" customHeight="1">
      <x:c r="B84" s="18" t="str">
        <x:v>Jsoup</x:v>
      </x:c>
      <x:c r="C84" s="18" t="str">
        <x:v>Round2</x:v>
      </x:c>
      <x:c r="D84" s="18" t="str">
        <x:v>Condition</x:v>
      </x:c>
      <x:c r="E84" s="22" t="n">
        <x:f>COUNTA('Data'!$C$1360:$C$1452)</x:f>
        <x:v>93</x:v>
      </x:c>
      <x:c r="F84" s="22" t="n">
        <x:f>COUNT('Data'!$N$1360:$N$1452)</x:f>
        <x:v>45</x:v>
      </x:c>
      <x:c r="G84" s="23" t="n">
        <x:f>IF(F84=0,"—",SUM('Data'!$N$1360:$N$1452)/F84/1)</x:f>
        <x:v>0.7835600000000001</x:v>
      </x:c>
      <x:c r="H84" s="23" t="n">
        <x:f>IF(E84=0,"—",SUM('Data'!$N$1360:$N$1452)/E84/1)</x:f>
        <x:v>0.37914193548387104</x:v>
      </x:c>
    </x:row>
    <x:row r="85" ht="23" customHeight="1">
      <x:c r="B85" s="18" t="str">
        <x:v>JxPath</x:v>
      </x:c>
      <x:c r="C85" s="18" t="str">
        <x:v>All rounds</x:v>
      </x:c>
      <x:c r="D85" s="18" t="str">
        <x:v>Line</x:v>
      </x:c>
      <x:c r="E85" s="22" t="n">
        <x:f>COUNTA('Data'!$C$601:$C$622,'Data'!$C$1453:$C$1474)</x:f>
        <x:v>44</x:v>
      </x:c>
      <x:c r="F85" s="22" t="n">
        <x:f>COUNT('Data'!$E$601:$E$622,'Data'!$E$1453:$E$1474)</x:f>
        <x:v>1</x:v>
      </x:c>
      <x:c r="G85" s="23" t="n">
        <x:f>IF(F85=0,"—",SUM('Data'!$E$601:$E$622,'Data'!$E$1453:$E$1474)/F85/1)</x:f>
        <x:v>0.6883</x:v>
      </x:c>
      <x:c r="H85" s="23" t="n">
        <x:f>IF(E85=0,"—",SUM('Data'!$E$601:$E$622,'Data'!$E$1453:$E$1474)/E85/1)</x:f>
        <x:v>0.01564318181818182</x:v>
      </x:c>
    </x:row>
    <x:row r="86" ht="23" customHeight="1">
      <x:c r="B86" s="18" t="str">
        <x:v>JxPath</x:v>
      </x:c>
      <x:c r="C86" s="18" t="str">
        <x:v>All rounds</x:v>
      </x:c>
      <x:c r="D86" s="18" t="str">
        <x:v>Condition</x:v>
      </x:c>
      <x:c r="E86" s="22" t="n">
        <x:f>COUNTA('Data'!$C$601:$C$622,'Data'!$C$1453:$C$1474)</x:f>
        <x:v>44</x:v>
      </x:c>
      <x:c r="F86" s="22" t="n">
        <x:f>COUNT('Data'!$N$601:$N$622,'Data'!$N$1453:$N$1474)</x:f>
        <x:v>1</x:v>
      </x:c>
      <x:c r="G86" s="23" t="n">
        <x:f>IF(F86=0,"—",SUM('Data'!$N$601:$N$622,'Data'!$N$1453:$N$1474)/F86/1)</x:f>
        <x:v>0.5</x:v>
      </x:c>
      <x:c r="H86" s="23" t="n">
        <x:f>IF(E86=0,"—",SUM('Data'!$N$601:$N$622,'Data'!$N$1453:$N$1474)/E86/1)</x:f>
        <x:v>0.011363636363636364</x:v>
      </x:c>
    </x:row>
    <x:row r="87" ht="23" customHeight="1">
      <x:c r="B87" s="18" t="str">
        <x:v>JxPath</x:v>
      </x:c>
      <x:c r="C87" s="18" t="str">
        <x:v>Round1</x:v>
      </x:c>
      <x:c r="D87" s="18" t="str">
        <x:v>Line</x:v>
      </x:c>
      <x:c r="E87" s="22" t="n">
        <x:f>COUNTA('Data'!$C$601:$C$622)</x:f>
        <x:v>22</x:v>
      </x:c>
      <x:c r="F87" s="22" t="n">
        <x:f>COUNT('Data'!$E$601:$E$622)</x:f>
        <x:v>0</x:v>
      </x:c>
      <x:c r="G87" s="23" t="str">
        <x:f>IF(F87=0,"—",SUM('Data'!$E$601:$E$622)/F87/1)</x:f>
        <x:v>—</x:v>
      </x:c>
      <x:c r="H87" s="23" t="n">
        <x:f>IF(E87=0,"—",SUM('Data'!$E$601:$E$622)/E87/1)</x:f>
        <x:v>0</x:v>
      </x:c>
    </x:row>
    <x:row r="88" ht="23" customHeight="1">
      <x:c r="B88" s="18" t="str">
        <x:v>JxPath</x:v>
      </x:c>
      <x:c r="C88" s="18" t="str">
        <x:v>Round1</x:v>
      </x:c>
      <x:c r="D88" s="18" t="str">
        <x:v>Condition</x:v>
      </x:c>
      <x:c r="E88" s="22" t="n">
        <x:f>COUNTA('Data'!$C$601:$C$622)</x:f>
        <x:v>22</x:v>
      </x:c>
      <x:c r="F88" s="22" t="n">
        <x:f>COUNT('Data'!$N$601:$N$622)</x:f>
        <x:v>0</x:v>
      </x:c>
      <x:c r="G88" s="23" t="str">
        <x:f>IF(F88=0,"—",SUM('Data'!$N$601:$N$622)/F88/1)</x:f>
        <x:v>—</x:v>
      </x:c>
      <x:c r="H88" s="23" t="n">
        <x:f>IF(E88=0,"—",SUM('Data'!$N$601:$N$622)/E88/1)</x:f>
        <x:v>0</x:v>
      </x:c>
    </x:row>
    <x:row r="89" ht="23" customHeight="1">
      <x:c r="B89" s="18" t="str">
        <x:v>JxPath</x:v>
      </x:c>
      <x:c r="C89" s="18" t="str">
        <x:v>Round2</x:v>
      </x:c>
      <x:c r="D89" s="18" t="str">
        <x:v>Line</x:v>
      </x:c>
      <x:c r="E89" s="22" t="n">
        <x:f>COUNTA('Data'!$C$1453:$C$1474)</x:f>
        <x:v>22</x:v>
      </x:c>
      <x:c r="F89" s="22" t="n">
        <x:f>COUNT('Data'!$E$1453:$E$1474)</x:f>
        <x:v>1</x:v>
      </x:c>
      <x:c r="G89" s="23" t="n">
        <x:f>IF(F89=0,"—",SUM('Data'!$E$1453:$E$1474)/F89/1)</x:f>
        <x:v>0.6883</x:v>
      </x:c>
      <x:c r="H89" s="23" t="n">
        <x:f>IF(E89=0,"—",SUM('Data'!$E$1453:$E$1474)/E89/1)</x:f>
        <x:v>0.03128636363636364</x:v>
      </x:c>
    </x:row>
    <x:row r="90" ht="23" customHeight="1">
      <x:c r="B90" s="18" t="str">
        <x:v>JxPath</x:v>
      </x:c>
      <x:c r="C90" s="18" t="str">
        <x:v>Round2</x:v>
      </x:c>
      <x:c r="D90" s="18" t="str">
        <x:v>Condition</x:v>
      </x:c>
      <x:c r="E90" s="22" t="n">
        <x:f>COUNTA('Data'!$C$1453:$C$1474)</x:f>
        <x:v>22</x:v>
      </x:c>
      <x:c r="F90" s="22" t="n">
        <x:f>COUNT('Data'!$N$1453:$N$1474)</x:f>
        <x:v>1</x:v>
      </x:c>
      <x:c r="G90" s="23" t="n">
        <x:f>IF(F90=0,"—",SUM('Data'!$N$1453:$N$1474)/F90/1)</x:f>
        <x:v>0.5</x:v>
      </x:c>
      <x:c r="H90" s="23" t="n">
        <x:f>IF(E90=0,"—",SUM('Data'!$N$1453:$N$1474)/E90/1)</x:f>
        <x:v>0.022727272727272728</x:v>
      </x:c>
    </x:row>
    <x:row r="91" ht="23" customHeight="1">
      <x:c r="B91" s="18" t="str">
        <x:v>Lang</x:v>
      </x:c>
      <x:c r="C91" s="18" t="str">
        <x:v>All rounds</x:v>
      </x:c>
      <x:c r="D91" s="18" t="str">
        <x:v>Line</x:v>
      </x:c>
      <x:c r="E91" s="22" t="n">
        <x:f>COUNTA('Data'!$C$623:$C$683,'Data'!$C$1475:$C$1535)</x:f>
        <x:v>122</x:v>
      </x:c>
      <x:c r="F91" s="22" t="n">
        <x:f>COUNT('Data'!$E$623:$E$683,'Data'!$E$1475:$E$1535)</x:f>
        <x:v>70</x:v>
      </x:c>
      <x:c r="G91" s="23" t="n">
        <x:f>IF(F91=0,"—",SUM('Data'!$E$623:$E$683,'Data'!$E$1475:$E$1535)/F91/1)</x:f>
        <x:v>0.741934285714286</x:v>
      </x:c>
      <x:c r="H91" s="23" t="n">
        <x:f>IF(E91=0,"—",SUM('Data'!$E$623:$E$683,'Data'!$E$1475:$E$1535)/E91/1)</x:f>
        <x:v>0.42570000000000013</x:v>
      </x:c>
    </x:row>
    <x:row r="92" ht="23" customHeight="1">
      <x:c r="B92" s="18" t="str">
        <x:v>Lang</x:v>
      </x:c>
      <x:c r="C92" s="18" t="str">
        <x:v>All rounds</x:v>
      </x:c>
      <x:c r="D92" s="18" t="str">
        <x:v>Condition</x:v>
      </x:c>
      <x:c r="E92" s="22" t="n">
        <x:f>COUNTA('Data'!$C$623:$C$683,'Data'!$C$1475:$C$1535)</x:f>
        <x:v>122</x:v>
      </x:c>
      <x:c r="F92" s="22" t="n">
        <x:f>COUNT('Data'!$N$623:$N$683,'Data'!$N$1475:$N$1535)</x:f>
        <x:v>70</x:v>
      </x:c>
      <x:c r="G92" s="23" t="n">
        <x:f>IF(F92=0,"—",SUM('Data'!$N$623:$N$683,'Data'!$N$1475:$N$1535)/F92/1)</x:f>
        <x:v>0.6464457142857143</x:v>
      </x:c>
      <x:c r="H92" s="23" t="n">
        <x:f>IF(E92=0,"—",SUM('Data'!$N$623:$N$683,'Data'!$N$1475:$N$1535)/E92/1)</x:f>
        <x:v>0.37091147540983604</x:v>
      </x:c>
    </x:row>
    <x:row r="93" ht="23" customHeight="1">
      <x:c r="B93" s="18" t="str">
        <x:v>Lang</x:v>
      </x:c>
      <x:c r="C93" s="18" t="str">
        <x:v>Round1</x:v>
      </x:c>
      <x:c r="D93" s="18" t="str">
        <x:v>Line</x:v>
      </x:c>
      <x:c r="E93" s="22" t="n">
        <x:f>COUNTA('Data'!$C$623:$C$683)</x:f>
        <x:v>61</x:v>
      </x:c>
      <x:c r="F93" s="22" t="n">
        <x:f>COUNT('Data'!$E$623:$E$683)</x:f>
        <x:v>25</x:v>
      </x:c>
      <x:c r="G93" s="23" t="n">
        <x:f>IF(F93=0,"—",SUM('Data'!$E$623:$E$683)/F93/1)</x:f>
        <x:v>0.7995600000000002</x:v>
      </x:c>
      <x:c r="H93" s="23" t="n">
        <x:f>IF(E93=0,"—",SUM('Data'!$E$623:$E$683)/E93/1)</x:f>
        <x:v>0.327688524590164</x:v>
      </x:c>
    </x:row>
    <x:row r="94" ht="23" customHeight="1">
      <x:c r="B94" s="18" t="str">
        <x:v>Lang</x:v>
      </x:c>
      <x:c r="C94" s="18" t="str">
        <x:v>Round1</x:v>
      </x:c>
      <x:c r="D94" s="18" t="str">
        <x:v>Condition</x:v>
      </x:c>
      <x:c r="E94" s="22" t="n">
        <x:f>COUNTA('Data'!$C$623:$C$683)</x:f>
        <x:v>61</x:v>
      </x:c>
      <x:c r="F94" s="22" t="n">
        <x:f>COUNT('Data'!$N$623:$N$683)</x:f>
        <x:v>25</x:v>
      </x:c>
      <x:c r="G94" s="23" t="n">
        <x:f>IF(F94=0,"—",SUM('Data'!$N$623:$N$683)/F94/1)</x:f>
        <x:v>0.691516</x:v>
      </x:c>
      <x:c r="H94" s="23" t="n">
        <x:f>IF(E94=0,"—",SUM('Data'!$N$623:$N$683)/E94/1)</x:f>
        <x:v>0.28340819672131146</x:v>
      </x:c>
    </x:row>
    <x:row r="95" ht="23" customHeight="1">
      <x:c r="B95" s="18" t="str">
        <x:v>Lang</x:v>
      </x:c>
      <x:c r="C95" s="18" t="str">
        <x:v>Round2</x:v>
      </x:c>
      <x:c r="D95" s="18" t="str">
        <x:v>Line</x:v>
      </x:c>
      <x:c r="E95" s="22" t="n">
        <x:f>COUNTA('Data'!$C$1475:$C$1535)</x:f>
        <x:v>61</x:v>
      </x:c>
      <x:c r="F95" s="22" t="n">
        <x:f>COUNT('Data'!$E$1475:$E$1535)</x:f>
        <x:v>45</x:v>
      </x:c>
      <x:c r="G95" s="23" t="n">
        <x:f>IF(F95=0,"—",SUM('Data'!$E$1475:$E$1535)/F95/1)</x:f>
        <x:v>0.7099200000000002</x:v>
      </x:c>
      <x:c r="H95" s="23" t="n">
        <x:f>IF(E95=0,"—",SUM('Data'!$E$1475:$E$1535)/E95/1)</x:f>
        <x:v>0.5237114754098362</x:v>
      </x:c>
    </x:row>
    <x:row r="96" ht="23" customHeight="1">
      <x:c r="B96" s="18" t="str">
        <x:v>Lang</x:v>
      </x:c>
      <x:c r="C96" s="18" t="str">
        <x:v>Round2</x:v>
      </x:c>
      <x:c r="D96" s="18" t="str">
        <x:v>Condition</x:v>
      </x:c>
      <x:c r="E96" s="22" t="n">
        <x:f>COUNTA('Data'!$C$1475:$C$1535)</x:f>
        <x:v>61</x:v>
      </x:c>
      <x:c r="F96" s="22" t="n">
        <x:f>COUNT('Data'!$N$1475:$N$1535)</x:f>
        <x:v>45</x:v>
      </x:c>
      <x:c r="G96" s="23" t="n">
        <x:f>IF(F96=0,"—",SUM('Data'!$N$1475:$N$1535)/F96/1)</x:f>
        <x:v>0.6214066666666666</x:v>
      </x:c>
      <x:c r="H96" s="23" t="n">
        <x:f>IF(E96=0,"—",SUM('Data'!$N$1475:$N$1535)/E96/1)</x:f>
        <x:v>0.4584147540983605</x:v>
      </x:c>
    </x:row>
    <x:row r="97" ht="23" customHeight="1">
      <x:c r="B97" s="18" t="str">
        <x:v>Math</x:v>
      </x:c>
      <x:c r="C97" s="18" t="str">
        <x:v>All rounds</x:v>
      </x:c>
      <x:c r="D97" s="18" t="str">
        <x:v>Line</x:v>
      </x:c>
      <x:c r="E97" s="22" t="n">
        <x:f>COUNTA('Data'!$C$684:$C$789,'Data'!$C$1536:$C$1641)</x:f>
        <x:v>212</x:v>
      </x:c>
      <x:c r="F97" s="22" t="n">
        <x:f>COUNT('Data'!$E$684:$E$789,'Data'!$E$1536:$E$1641)</x:f>
        <x:v>145</x:v>
      </x:c>
      <x:c r="G97" s="23" t="n">
        <x:f>IF(F97=0,"—",SUM('Data'!$E$684:$E$789,'Data'!$E$1536:$E$1641)/F97/1)</x:f>
        <x:v>0.8171068965517242</x:v>
      </x:c>
      <x:c r="H97" s="23" t="n">
        <x:f>IF(E97=0,"—",SUM('Data'!$E$684:$E$789,'Data'!$E$1536:$E$1641)/E97/1)</x:f>
        <x:v>0.558870283018868</x:v>
      </x:c>
    </x:row>
    <x:row r="98" ht="23" customHeight="1">
      <x:c r="B98" s="18" t="str">
        <x:v>Math</x:v>
      </x:c>
      <x:c r="C98" s="18" t="str">
        <x:v>All rounds</x:v>
      </x:c>
      <x:c r="D98" s="18" t="str">
        <x:v>Condition</x:v>
      </x:c>
      <x:c r="E98" s="22" t="n">
        <x:f>COUNTA('Data'!$C$684:$C$789,'Data'!$C$1536:$C$1641)</x:f>
        <x:v>212</x:v>
      </x:c>
      <x:c r="F98" s="22" t="n">
        <x:f>COUNT('Data'!$N$684:$N$789,'Data'!$N$1536:$N$1641)</x:f>
        <x:v>145</x:v>
      </x:c>
      <x:c r="G98" s="23" t="n">
        <x:f>IF(F98=0,"—",SUM('Data'!$N$684:$N$789,'Data'!$N$1536:$N$1641)/F98/1)</x:f>
        <x:v>0.7555282758620692</x:v>
      </x:c>
      <x:c r="H98" s="23" t="n">
        <x:f>IF(E98=0,"—",SUM('Data'!$N$684:$N$789,'Data'!$N$1536:$N$1641)/E98/1)</x:f>
        <x:v>0.5167528301886795</x:v>
      </x:c>
    </x:row>
    <x:row r="99" ht="23" customHeight="1">
      <x:c r="B99" s="18" t="str">
        <x:v>Math</x:v>
      </x:c>
      <x:c r="C99" s="18" t="str">
        <x:v>Round1</x:v>
      </x:c>
      <x:c r="D99" s="18" t="str">
        <x:v>Line</x:v>
      </x:c>
      <x:c r="E99" s="22" t="n">
        <x:f>COUNTA('Data'!$C$684:$C$789)</x:f>
        <x:v>106</x:v>
      </x:c>
      <x:c r="F99" s="22" t="n">
        <x:f>COUNT('Data'!$E$684:$E$789)</x:f>
        <x:v>53</x:v>
      </x:c>
      <x:c r="G99" s="23" t="n">
        <x:f>IF(F99=0,"—",SUM('Data'!$E$684:$E$789)/F99/1)</x:f>
        <x:v>0.8181320754716981</x:v>
      </x:c>
      <x:c r="H99" s="23" t="n">
        <x:f>IF(E99=0,"—",SUM('Data'!$E$684:$E$789)/E99/1)</x:f>
        <x:v>0.40906603773584904</x:v>
      </x:c>
    </x:row>
    <x:row r="100" ht="23" customHeight="1">
      <x:c r="B100" s="18" t="str">
        <x:v>Math</x:v>
      </x:c>
      <x:c r="C100" s="18" t="str">
        <x:v>Round1</x:v>
      </x:c>
      <x:c r="D100" s="18" t="str">
        <x:v>Condition</x:v>
      </x:c>
      <x:c r="E100" s="22" t="n">
        <x:f>COUNTA('Data'!$C$684:$C$789)</x:f>
        <x:v>106</x:v>
      </x:c>
      <x:c r="F100" s="22" t="n">
        <x:f>COUNT('Data'!$N$684:$N$789)</x:f>
        <x:v>53</x:v>
      </x:c>
      <x:c r="G100" s="23" t="n">
        <x:f>IF(F100=0,"—",SUM('Data'!$N$684:$N$789)/F100/1)</x:f>
        <x:v>0.7671075471698116</x:v>
      </x:c>
      <x:c r="H100" s="23" t="n">
        <x:f>IF(E100=0,"—",SUM('Data'!$N$684:$N$789)/E100/1)</x:f>
        <x:v>0.3835537735849058</x:v>
      </x:c>
    </x:row>
    <x:row r="101" ht="23" customHeight="1">
      <x:c r="B101" s="18" t="str">
        <x:v>Math</x:v>
      </x:c>
      <x:c r="C101" s="18" t="str">
        <x:v>Round2</x:v>
      </x:c>
      <x:c r="D101" s="18" t="str">
        <x:v>Line</x:v>
      </x:c>
      <x:c r="E101" s="22" t="n">
        <x:f>COUNTA('Data'!$C$1536:$C$1641)</x:f>
        <x:v>106</x:v>
      </x:c>
      <x:c r="F101" s="22" t="n">
        <x:f>COUNT('Data'!$E$1536:$E$1641)</x:f>
        <x:v>92</x:v>
      </x:c>
      <x:c r="G101" s="23" t="n">
        <x:f>IF(F101=0,"—",SUM('Data'!$E$1536:$E$1641)/F101/1)</x:f>
        <x:v>0.8165163043478263</x:v>
      </x:c>
      <x:c r="H101" s="23" t="n">
        <x:f>IF(E101=0,"—",SUM('Data'!$E$1536:$E$1641)/E101/1)</x:f>
        <x:v>0.7086745283018869</x:v>
      </x:c>
    </x:row>
    <x:row r="102" ht="23" customHeight="1">
      <x:c r="B102" s="18" t="str">
        <x:v>Math</x:v>
      </x:c>
      <x:c r="C102" s="18" t="str">
        <x:v>Round2</x:v>
      </x:c>
      <x:c r="D102" s="18" t="str">
        <x:v>Condition</x:v>
      </x:c>
      <x:c r="E102" s="22" t="n">
        <x:f>COUNTA('Data'!$C$1536:$C$1641)</x:f>
        <x:v>106</x:v>
      </x:c>
      <x:c r="F102" s="22" t="n">
        <x:f>COUNT('Data'!$N$1536:$N$1641)</x:f>
        <x:v>92</x:v>
      </x:c>
      <x:c r="G102" s="23" t="n">
        <x:f>IF(F102=0,"—",SUM('Data'!$N$1536:$N$1641)/F102/1)</x:f>
        <x:v>0.7488576086956524</x:v>
      </x:c>
      <x:c r="H102" s="23" t="n">
        <x:f>IF(E102=0,"—",SUM('Data'!$N$1536:$N$1641)/E102/1)</x:f>
        <x:v>0.6499518867924531</x:v>
      </x:c>
    </x:row>
    <x:row r="103" ht="23" customHeight="1">
      <x:c r="B103" s="18" t="str">
        <x:v>Mockito</x:v>
      </x:c>
      <x:c r="C103" s="18" t="str">
        <x:v>All rounds</x:v>
      </x:c>
      <x:c r="D103" s="18" t="str">
        <x:v>Line</x:v>
      </x:c>
      <x:c r="E103" s="22" t="n">
        <x:f>COUNTA('Data'!$C$790:$C$827,'Data'!$C$1642:$C$1679)</x:f>
        <x:v>76</x:v>
      </x:c>
      <x:c r="F103" s="22" t="n">
        <x:f>COUNT('Data'!$E$790:$E$827,'Data'!$E$1642:$E$1679)</x:f>
        <x:v>30</x:v>
      </x:c>
      <x:c r="G103" s="23" t="n">
        <x:f>IF(F103=0,"—",SUM('Data'!$E$790:$E$827,'Data'!$E$1642:$E$1679)/F103/1)</x:f>
        <x:v>0.9225999999999999</x:v>
      </x:c>
      <x:c r="H103" s="23" t="n">
        <x:f>IF(E103=0,"—",SUM('Data'!$E$790:$E$827,'Data'!$E$1642:$E$1679)/E103/1)</x:f>
        <x:v>0.3641842105263158</x:v>
      </x:c>
    </x:row>
    <x:row r="104" ht="23" customHeight="1">
      <x:c r="B104" s="18" t="str">
        <x:v>Mockito</x:v>
      </x:c>
      <x:c r="C104" s="18" t="str">
        <x:v>All rounds</x:v>
      </x:c>
      <x:c r="D104" s="18" t="str">
        <x:v>Condition</x:v>
      </x:c>
      <x:c r="E104" s="22" t="n">
        <x:f>COUNTA('Data'!$C$790:$C$827,'Data'!$C$1642:$C$1679)</x:f>
        <x:v>76</x:v>
      </x:c>
      <x:c r="F104" s="22" t="n">
        <x:f>COUNT('Data'!$N$790:$N$827,'Data'!$N$1642:$N$1679)</x:f>
        <x:v>25</x:v>
      </x:c>
      <x:c r="G104" s="23" t="n">
        <x:f>IF(F104=0,"—",SUM('Data'!$N$790:$N$827,'Data'!$N$1642:$N$1679)/F104/1)</x:f>
        <x:v>0.7887280000000001</x:v>
      </x:c>
      <x:c r="H104" s="23" t="n">
        <x:f>IF(E104=0,"—",SUM('Data'!$N$790:$N$827,'Data'!$N$1642:$N$1679)/E104/1)</x:f>
        <x:v>0.25945</x:v>
      </x:c>
    </x:row>
    <x:row r="105" ht="23" customHeight="1">
      <x:c r="B105" s="18" t="str">
        <x:v>Mockito</x:v>
      </x:c>
      <x:c r="C105" s="18" t="str">
        <x:v>Round1</x:v>
      </x:c>
      <x:c r="D105" s="18" t="str">
        <x:v>Line</x:v>
      </x:c>
      <x:c r="E105" s="22" t="n">
        <x:f>COUNTA('Data'!$C$790:$C$827)</x:f>
        <x:v>38</x:v>
      </x:c>
      <x:c r="F105" s="22" t="n">
        <x:f>COUNT('Data'!$E$790:$E$827)</x:f>
        <x:v>11</x:v>
      </x:c>
      <x:c r="G105" s="23" t="n">
        <x:f>IF(F105=0,"—",SUM('Data'!$E$790:$E$827)/F105/1)</x:f>
        <x:v>0.9200818181818182</x:v>
      </x:c>
      <x:c r="H105" s="23" t="n">
        <x:f>IF(E105=0,"—",SUM('Data'!$E$790:$E$827)/E105/1)</x:f>
        <x:v>0.26633947368421057</x:v>
      </x:c>
    </x:row>
    <x:row r="106" ht="23" customHeight="1">
      <x:c r="B106" s="18" t="str">
        <x:v>Mockito</x:v>
      </x:c>
      <x:c r="C106" s="18" t="str">
        <x:v>Round1</x:v>
      </x:c>
      <x:c r="D106" s="18" t="str">
        <x:v>Condition</x:v>
      </x:c>
      <x:c r="E106" s="22" t="n">
        <x:f>COUNTA('Data'!$C$790:$C$827)</x:f>
        <x:v>38</x:v>
      </x:c>
      <x:c r="F106" s="22" t="n">
        <x:f>COUNT('Data'!$N$790:$N$827)</x:f>
        <x:v>9</x:v>
      </x:c>
      <x:c r="G106" s="23" t="n">
        <x:f>IF(F106=0,"—",SUM('Data'!$N$790:$N$827)/F106/1)</x:f>
        <x:v>0.7388444444444445</x:v>
      </x:c>
      <x:c r="H106" s="23" t="n">
        <x:f>IF(E106=0,"—",SUM('Data'!$N$790:$N$827)/E106/1)</x:f>
        <x:v>0.17498947368421053</x:v>
      </x:c>
    </x:row>
    <x:row r="107" ht="23" customHeight="1">
      <x:c r="B107" s="18" t="str">
        <x:v>Mockito</x:v>
      </x:c>
      <x:c r="C107" s="18" t="str">
        <x:v>Round2</x:v>
      </x:c>
      <x:c r="D107" s="18" t="str">
        <x:v>Line</x:v>
      </x:c>
      <x:c r="E107" s="22" t="n">
        <x:f>COUNTA('Data'!$C$1642:$C$1679)</x:f>
        <x:v>38</x:v>
      </x:c>
      <x:c r="F107" s="22" t="n">
        <x:f>COUNT('Data'!$E$1642:$E$1679)</x:f>
        <x:v>19</x:v>
      </x:c>
      <x:c r="G107" s="23" t="n">
        <x:f>IF(F107=0,"—",SUM('Data'!$E$1642:$E$1679)/F107/1)</x:f>
        <x:v>0.924057894736842</x:v>
      </x:c>
      <x:c r="H107" s="23" t="n">
        <x:f>IF(E107=0,"—",SUM('Data'!$E$1642:$E$1679)/E107/1)</x:f>
        <x:v>0.462028947368421</x:v>
      </x:c>
    </x:row>
    <x:row r="108" ht="23" customHeight="1">
      <x:c r="B108" s="18" t="str">
        <x:v>Mockito</x:v>
      </x:c>
      <x:c r="C108" s="18" t="str">
        <x:v>Round2</x:v>
      </x:c>
      <x:c r="D108" s="18" t="str">
        <x:v>Condition</x:v>
      </x:c>
      <x:c r="E108" s="22" t="n">
        <x:f>COUNTA('Data'!$C$1642:$C$1679)</x:f>
        <x:v>38</x:v>
      </x:c>
      <x:c r="F108" s="22" t="n">
        <x:f>COUNT('Data'!$N$1642:$N$1679)</x:f>
        <x:v>16</x:v>
      </x:c>
      <x:c r="G108" s="23" t="n">
        <x:f>IF(F108=0,"—",SUM('Data'!$N$1642:$N$1679)/F108/1)</x:f>
        <x:v>0.8167875000000001</x:v>
      </x:c>
      <x:c r="H108" s="23" t="n">
        <x:f>IF(E108=0,"—",SUM('Data'!$N$1642:$N$1679)/E108/1)</x:f>
        <x:v>0.3439105263157895</x:v>
      </x:c>
    </x:row>
    <x:row r="109" ht="23" customHeight="1">
      <x:c r="B109" s="18" t="str">
        <x:v>Time</x:v>
      </x:c>
      <x:c r="C109" s="18" t="str">
        <x:v>All rounds</x:v>
      </x:c>
      <x:c r="D109" s="18" t="str">
        <x:v>Line</x:v>
      </x:c>
      <x:c r="E109" s="22" t="n">
        <x:f>COUNTA('Data'!$C$828:$C$853,'Data'!$C$1680:$C$1705)</x:f>
        <x:v>52</x:v>
      </x:c>
      <x:c r="F109" s="22" t="n">
        <x:f>COUNT('Data'!$E$828:$E$853,'Data'!$E$1680:$E$1705)</x:f>
        <x:v>24</x:v>
      </x:c>
      <x:c r="G109" s="23" t="n">
        <x:f>IF(F109=0,"—",SUM('Data'!$E$828:$E$853,'Data'!$E$1680:$E$1705)/F109/1)</x:f>
        <x:v>0.5891124999999999</x:v>
      </x:c>
      <x:c r="H109" s="23" t="n">
        <x:f>IF(E109=0,"—",SUM('Data'!$E$828:$E$853,'Data'!$E$1680:$E$1705)/E109/1)</x:f>
        <x:v>0.2718980769230769</x:v>
      </x:c>
    </x:row>
    <x:row r="110" ht="23" customHeight="1">
      <x:c r="B110" s="18" t="str">
        <x:v>Time</x:v>
      </x:c>
      <x:c r="C110" s="18" t="str">
        <x:v>All rounds</x:v>
      </x:c>
      <x:c r="D110" s="18" t="str">
        <x:v>Condition</x:v>
      </x:c>
      <x:c r="E110" s="22" t="n">
        <x:f>COUNTA('Data'!$C$828:$C$853,'Data'!$C$1680:$C$1705)</x:f>
        <x:v>52</x:v>
      </x:c>
      <x:c r="F110" s="22" t="n">
        <x:f>COUNT('Data'!$N$828:$N$853,'Data'!$N$1680:$N$1705)</x:f>
        <x:v>24</x:v>
      </x:c>
      <x:c r="G110" s="23" t="n">
        <x:f>IF(F110=0,"—",SUM('Data'!$N$828:$N$853,'Data'!$N$1680:$N$1705)/F110/1)</x:f>
        <x:v>0.4576833333333334</x:v>
      </x:c>
      <x:c r="H110" s="23" t="n">
        <x:f>IF(E110=0,"—",SUM('Data'!$N$828:$N$853,'Data'!$N$1680:$N$1705)/E110/1)</x:f>
        <x:v>0.21123846153846154</x:v>
      </x:c>
    </x:row>
    <x:row r="111" ht="23" customHeight="1">
      <x:c r="B111" s="18" t="str">
        <x:v>Time</x:v>
      </x:c>
      <x:c r="C111" s="18" t="str">
        <x:v>Round1</x:v>
      </x:c>
      <x:c r="D111" s="18" t="str">
        <x:v>Line</x:v>
      </x:c>
      <x:c r="E111" s="22" t="n">
        <x:f>COUNTA('Data'!$C$828:$C$853)</x:f>
        <x:v>26</x:v>
      </x:c>
      <x:c r="F111" s="22" t="n">
        <x:f>COUNT('Data'!$E$828:$E$853)</x:f>
        <x:v>6</x:v>
      </x:c>
      <x:c r="G111" s="23" t="n">
        <x:f>IF(F111=0,"—",SUM('Data'!$E$828:$E$853)/F111/1)</x:f>
        <x:v>0.5613666666666667</x:v>
      </x:c>
      <x:c r="H111" s="23" t="n">
        <x:f>IF(E111=0,"—",SUM('Data'!$E$828:$E$853)/E111/1)</x:f>
        <x:v>0.12954615384615384</x:v>
      </x:c>
    </x:row>
    <x:row r="112" ht="23" customHeight="1">
      <x:c r="B112" s="18" t="str">
        <x:v>Time</x:v>
      </x:c>
      <x:c r="C112" s="18" t="str">
        <x:v>Round1</x:v>
      </x:c>
      <x:c r="D112" s="18" t="str">
        <x:v>Condition</x:v>
      </x:c>
      <x:c r="E112" s="22" t="n">
        <x:f>COUNTA('Data'!$C$828:$C$853)</x:f>
        <x:v>26</x:v>
      </x:c>
      <x:c r="F112" s="22" t="n">
        <x:f>COUNT('Data'!$N$828:$N$853)</x:f>
        <x:v>6</x:v>
      </x:c>
      <x:c r="G112" s="23" t="n">
        <x:f>IF(F112=0,"—",SUM('Data'!$N$828:$N$853)/F112/1)</x:f>
        <x:v>0.39138333333333336</x:v>
      </x:c>
      <x:c r="H112" s="23" t="n">
        <x:f>IF(E112=0,"—",SUM('Data'!$N$828:$N$853)/E112/1)</x:f>
        <x:v>0.09031923076923078</x:v>
      </x:c>
    </x:row>
    <x:row r="113" ht="23" customHeight="1">
      <x:c r="B113" s="18" t="str">
        <x:v>Time</x:v>
      </x:c>
      <x:c r="C113" s="18" t="str">
        <x:v>Round2</x:v>
      </x:c>
      <x:c r="D113" s="18" t="str">
        <x:v>Line</x:v>
      </x:c>
      <x:c r="E113" s="22" t="n">
        <x:f>COUNTA('Data'!$C$1680:$C$1705)</x:f>
        <x:v>26</x:v>
      </x:c>
      <x:c r="F113" s="22" t="n">
        <x:f>COUNT('Data'!$E$1680:$E$1705)</x:f>
        <x:v>18</x:v>
      </x:c>
      <x:c r="G113" s="23" t="n">
        <x:f>IF(F113=0,"—",SUM('Data'!$E$1680:$E$1705)/F113/1)</x:f>
        <x:v>0.598361111111111</x:v>
      </x:c>
      <x:c r="H113" s="23" t="n">
        <x:f>IF(E113=0,"—",SUM('Data'!$E$1680:$E$1705)/E113/1)</x:f>
        <x:v>0.41424999999999995</x:v>
      </x:c>
    </x:row>
    <x:row r="114" ht="23" customHeight="1">
      <x:c r="B114" s="18" t="str">
        <x:v>Time</x:v>
      </x:c>
      <x:c r="C114" s="18" t="str">
        <x:v>Round2</x:v>
      </x:c>
      <x:c r="D114" s="18" t="str">
        <x:v>Condition</x:v>
      </x:c>
      <x:c r="E114" s="22" t="n">
        <x:f>COUNTA('Data'!$C$1680:$C$1705)</x:f>
        <x:v>26</x:v>
      </x:c>
      <x:c r="F114" s="22" t="n">
        <x:f>COUNT('Data'!$N$1680:$N$1705)</x:f>
        <x:v>18</x:v>
      </x:c>
      <x:c r="G114" s="23" t="n">
        <x:f>IF(F114=0,"—",SUM('Data'!$N$1680:$N$1705)/F114/1)</x:f>
        <x:v>0.4797833333333334</x:v>
      </x:c>
      <x:c r="H114" s="23" t="n">
        <x:f>IF(E114=0,"—",SUM('Data'!$N$1680:$N$1705)/E114/1)</x:f>
        <x:v>0.3321576923076923</x:v>
      </x:c>
    </x:row>
  </x:sheetData>
  <x:mergeCells>
    <x:mergeCell ref="B3:H3"/>
    <x:mergeCell ref="B4:H4"/>
  </x:mergeCells>
  <x:pageMargins left="0.7" right="0.7" top="0.75" bottom="0.75" header="0.3" footer="0.3"/>
</x:worksheet>
</file>